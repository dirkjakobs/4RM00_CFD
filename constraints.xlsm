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2" l="1"/>
  <c r="K16" i="2"/>
  <c r="K15" i="2"/>
  <c r="K14" i="2"/>
</calcChain>
</file>

<file path=xl/sharedStrings.xml><?xml version="1.0" encoding="utf-8"?>
<sst xmlns="http://schemas.openxmlformats.org/spreadsheetml/2006/main" count="54" uniqueCount="45">
  <si>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</si>
  <si>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</si>
  <si>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</si>
  <si>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</si>
  <si>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</si>
  <si>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</si>
  <si>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</si>
  <si>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</si>
  <si>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</si>
  <si>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</si>
  <si>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</si>
  <si>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</si>
  <si>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T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</si>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</sst>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5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5" fillId="0" borderId="0" xfId="0" applyFont="1"/>
    <xf numFmtId="0" fontId="0" fillId="9" borderId="1" xfId="0" applyFill="1" applyBorder="1"/>
    <xf numFmtId="0" fontId="0" fillId="0" borderId="4" xfId="0" applyBorder="1"/>
    <xf numFmtId="0" fontId="3" fillId="6" borderId="7" xfId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3" fillId="6" borderId="3" xfId="1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3</xdr:col>
          <xdr:colOff>739140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Dirk's magic button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zoomScale="94" zoomScaleNormal="94" workbookViewId="0">
      <selection activeCell="I16" sqref="I16:J22"/>
    </sheetView>
  </sheetViews>
  <sheetFormatPr defaultRowHeight="14.4" x14ac:dyDescent="0.3"/>
  <cols>
    <col min="1" max="22" width="9.88671875" customWidth="1"/>
  </cols>
  <sheetData>
    <row r="1" spans="1:22" ht="4.95" customHeight="1" x14ac:dyDescent="0.3">
      <c r="A1" s="2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2"/>
    </row>
    <row r="2" spans="1:2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"/>
    </row>
    <row r="3" spans="1:2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1:2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</row>
    <row r="5" spans="1:2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1:2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</row>
    <row r="7" spans="1:2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</row>
    <row r="8" spans="1:2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"/>
    </row>
    <row r="9" spans="1:2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</row>
    <row r="10" spans="1:2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</row>
    <row r="11" spans="1:2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</row>
    <row r="12" spans="1:2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</row>
    <row r="13" spans="1:2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2"/>
    </row>
    <row r="14" spans="1:2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</row>
    <row r="15" spans="1:22" ht="4.95" customHeight="1" x14ac:dyDescent="0.3">
      <c r="A15" s="2"/>
      <c r="B15" s="1"/>
      <c r="C15" s="1"/>
      <c r="D15" s="1"/>
      <c r="E15" s="1"/>
      <c r="F15" s="1"/>
      <c r="G15" s="1"/>
      <c r="H15" s="1"/>
      <c r="I15" s="3"/>
      <c r="J15" s="3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</row>
    <row r="16" spans="1:22" ht="4.95" customHeight="1" x14ac:dyDescent="0.3">
      <c r="A16" s="2"/>
      <c r="B16" s="1"/>
      <c r="C16" s="1"/>
      <c r="D16" s="1"/>
      <c r="E16" s="1"/>
      <c r="F16" s="1"/>
      <c r="G16" s="1"/>
      <c r="H16" s="8"/>
      <c r="I16" s="7"/>
      <c r="J16" s="7"/>
      <c r="K16" s="8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</row>
    <row r="17" spans="1:22" ht="4.95" customHeight="1" x14ac:dyDescent="0.3">
      <c r="A17" s="2"/>
      <c r="B17" s="1"/>
      <c r="C17" s="1"/>
      <c r="D17" s="1"/>
      <c r="E17" s="1"/>
      <c r="F17" s="1"/>
      <c r="G17" s="1"/>
      <c r="H17" s="8"/>
      <c r="I17" s="7"/>
      <c r="J17" s="7"/>
      <c r="K17" s="8"/>
      <c r="L17" s="1"/>
      <c r="M17" s="1"/>
      <c r="N17" s="1"/>
      <c r="O17" s="1"/>
      <c r="P17" s="1"/>
      <c r="Q17" s="1"/>
      <c r="R17" s="1"/>
      <c r="S17" s="1"/>
      <c r="T17" s="1"/>
      <c r="U17" s="1"/>
      <c r="V17" s="2"/>
    </row>
    <row r="18" spans="1:22" ht="4.95" customHeight="1" x14ac:dyDescent="0.3">
      <c r="A18" s="2"/>
      <c r="B18" s="1"/>
      <c r="C18" s="1"/>
      <c r="D18" s="1"/>
      <c r="E18" s="1"/>
      <c r="F18" s="1"/>
      <c r="G18" s="1"/>
      <c r="H18" s="8"/>
      <c r="I18" s="7"/>
      <c r="J18" s="7"/>
      <c r="K18" s="8"/>
      <c r="L18" s="1"/>
      <c r="M18" s="1"/>
      <c r="N18" s="1"/>
      <c r="O18" s="1"/>
      <c r="P18" s="1"/>
      <c r="Q18" s="1"/>
      <c r="R18" s="1"/>
      <c r="S18" s="1"/>
      <c r="T18" s="1"/>
      <c r="U18" s="1"/>
      <c r="V18" s="2"/>
    </row>
    <row r="19" spans="1:22" ht="4.95" customHeight="1" x14ac:dyDescent="0.3">
      <c r="A19" s="2"/>
      <c r="B19" s="1"/>
      <c r="C19" s="1"/>
      <c r="D19" s="1"/>
      <c r="E19" s="1"/>
      <c r="F19" s="1"/>
      <c r="G19" s="1"/>
      <c r="H19" s="8"/>
      <c r="I19" s="7"/>
      <c r="J19" s="7"/>
      <c r="K19" s="8"/>
      <c r="L19" s="1"/>
      <c r="M19" s="1"/>
      <c r="N19" s="1"/>
      <c r="O19" s="1"/>
      <c r="P19" s="1"/>
      <c r="Q19" s="1"/>
      <c r="R19" s="1"/>
      <c r="S19" s="1"/>
      <c r="T19" s="1"/>
      <c r="U19" s="1"/>
      <c r="V19" s="2"/>
    </row>
    <row r="20" spans="1:22" ht="4.95" customHeight="1" x14ac:dyDescent="0.3">
      <c r="A20" s="2"/>
      <c r="B20" s="1"/>
      <c r="C20" s="1"/>
      <c r="D20" s="1"/>
      <c r="E20" s="1"/>
      <c r="F20" s="1"/>
      <c r="G20" s="1"/>
      <c r="H20" s="8"/>
      <c r="I20" s="7"/>
      <c r="J20" s="7"/>
      <c r="K20" s="8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1:22" ht="4.95" customHeight="1" x14ac:dyDescent="0.3">
      <c r="A21" s="2"/>
      <c r="B21" s="1"/>
      <c r="C21" s="1"/>
      <c r="D21" s="1"/>
      <c r="E21" s="1"/>
      <c r="F21" s="1"/>
      <c r="G21" s="1"/>
      <c r="H21" s="8"/>
      <c r="I21" s="7"/>
      <c r="J21" s="7"/>
      <c r="K21" s="8"/>
      <c r="L21" s="1"/>
      <c r="M21" s="1"/>
      <c r="N21" s="1"/>
      <c r="O21" s="1"/>
      <c r="P21" s="1"/>
      <c r="Q21" s="1"/>
      <c r="R21" s="1"/>
      <c r="S21" s="1"/>
      <c r="T21" s="1"/>
      <c r="U21" s="1"/>
      <c r="V21" s="2"/>
    </row>
    <row r="22" spans="1:22" ht="4.95" customHeight="1" x14ac:dyDescent="0.3">
      <c r="A22" s="2"/>
      <c r="B22" s="1"/>
      <c r="C22" s="1"/>
      <c r="D22" s="1"/>
      <c r="E22" s="1"/>
      <c r="F22" s="1"/>
      <c r="G22" s="1"/>
      <c r="H22" s="8"/>
      <c r="I22" s="7"/>
      <c r="J22" s="7"/>
      <c r="K22" s="8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1:22" ht="4.95" customHeight="1" x14ac:dyDescent="0.3">
      <c r="A23" s="2"/>
      <c r="B23" s="1"/>
      <c r="C23" s="1"/>
      <c r="D23" s="1"/>
      <c r="E23" s="1"/>
      <c r="F23" s="1"/>
      <c r="G23" s="1"/>
      <c r="H23" s="1"/>
      <c r="I23" s="3"/>
      <c r="J23" s="3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1:2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1:2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1:2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1:2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1:2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1:2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1:2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1:2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1:2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1:2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1:2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1:2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1:2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"/>
    </row>
    <row r="37" spans="1:2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"/>
    </row>
    <row r="38" spans="1:2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"/>
    </row>
    <row r="39" spans="1:2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"/>
    </row>
    <row r="40" spans="1:2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"/>
    </row>
    <row r="41" spans="1:2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"/>
    </row>
    <row r="42" spans="1:22" ht="4.95" customHeight="1" x14ac:dyDescent="0.3">
      <c r="A42" s="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tabSelected="1" workbookViewId="0">
      <selection activeCell="J20" sqref="J20"/>
    </sheetView>
  </sheetViews>
  <sheetFormatPr defaultRowHeight="14.4" x14ac:dyDescent="0.3"/>
  <cols>
    <col min="1" max="1" width="8.88671875" customWidth="1"/>
    <col min="2" max="2" width="10.21875" customWidth="1"/>
    <col min="4" max="4" width="10.88671875" customWidth="1"/>
    <col min="10" max="10" width="18" customWidth="1"/>
  </cols>
  <sheetData>
    <row r="1" spans="2:13" ht="18.600000000000001" thickBot="1" x14ac:dyDescent="0.4">
      <c r="B1" s="4" t="s">
        <v>4</v>
      </c>
      <c r="C1" s="5"/>
      <c r="D1" s="6"/>
      <c r="F1" s="4" t="s">
        <v>10</v>
      </c>
      <c r="G1" s="6"/>
      <c r="H1" s="6"/>
      <c r="J1" s="13" t="s">
        <v>23</v>
      </c>
      <c r="K1" s="6"/>
      <c r="L1" s="6"/>
    </row>
    <row r="2" spans="2:13" ht="14.4" customHeight="1" x14ac:dyDescent="0.3">
      <c r="J2" s="7"/>
      <c r="K2" t="s">
        <v>25</v>
      </c>
      <c r="M2">
        <v>0</v>
      </c>
    </row>
    <row r="3" spans="2:13" x14ac:dyDescent="0.3">
      <c r="B3" t="s">
        <v>0</v>
      </c>
      <c r="C3" s="11">
        <v>10</v>
      </c>
      <c r="D3" t="s">
        <v>11</v>
      </c>
      <c r="F3" t="s">
        <v>12</v>
      </c>
      <c r="G3" s="9">
        <v>320</v>
      </c>
      <c r="H3" t="s">
        <v>13</v>
      </c>
      <c r="J3" s="15"/>
      <c r="K3" t="s">
        <v>24</v>
      </c>
      <c r="M3">
        <v>10</v>
      </c>
    </row>
    <row r="4" spans="2:13" x14ac:dyDescent="0.3">
      <c r="B4" t="s">
        <v>1</v>
      </c>
      <c r="C4" s="11">
        <v>0.2</v>
      </c>
      <c r="D4" t="s">
        <v>11</v>
      </c>
      <c r="F4" t="s">
        <v>33</v>
      </c>
      <c r="G4" s="9">
        <v>10</v>
      </c>
      <c r="H4" t="s">
        <v>14</v>
      </c>
      <c r="J4" s="3"/>
      <c r="K4" t="s">
        <v>26</v>
      </c>
      <c r="M4">
        <v>44</v>
      </c>
    </row>
    <row r="5" spans="2:13" x14ac:dyDescent="0.3">
      <c r="B5" s="16" t="s">
        <v>22</v>
      </c>
      <c r="C5" s="17">
        <v>5.0000000000000001E-3</v>
      </c>
      <c r="D5" s="16" t="s">
        <v>11</v>
      </c>
      <c r="J5" s="8"/>
      <c r="K5" t="s">
        <v>27</v>
      </c>
      <c r="M5">
        <v>42</v>
      </c>
    </row>
    <row r="6" spans="2:13" x14ac:dyDescent="0.3">
      <c r="B6" t="s">
        <v>2</v>
      </c>
      <c r="C6" s="10">
        <v>20</v>
      </c>
      <c r="J6" s="12"/>
      <c r="K6" t="s">
        <v>28</v>
      </c>
      <c r="M6">
        <v>41</v>
      </c>
    </row>
    <row r="7" spans="2:13" x14ac:dyDescent="0.3">
      <c r="B7" t="s">
        <v>3</v>
      </c>
      <c r="C7" s="10">
        <v>40</v>
      </c>
    </row>
    <row r="8" spans="2:13" x14ac:dyDescent="0.3">
      <c r="C8" s="14" t="b">
        <v>0</v>
      </c>
    </row>
    <row r="11" spans="2:13" ht="18.600000000000001" thickBot="1" x14ac:dyDescent="0.4">
      <c r="B11" s="4" t="s">
        <v>20</v>
      </c>
      <c r="C11" s="6"/>
      <c r="D11" s="6"/>
      <c r="F11" s="4" t="s">
        <v>32</v>
      </c>
      <c r="G11" s="6"/>
      <c r="H11" s="6"/>
      <c r="J11" s="4" t="s">
        <v>31</v>
      </c>
      <c r="K11" s="6"/>
      <c r="L11" s="6"/>
    </row>
    <row r="13" spans="2:13" x14ac:dyDescent="0.3">
      <c r="B13" t="s">
        <v>9</v>
      </c>
      <c r="C13" s="9">
        <v>100</v>
      </c>
      <c r="F13" s="16" t="s">
        <v>7</v>
      </c>
      <c r="G13" s="18" t="s">
        <v>8</v>
      </c>
      <c r="H13" s="19"/>
      <c r="J13" t="s">
        <v>34</v>
      </c>
      <c r="K13" s="24" t="s">
        <v>35</v>
      </c>
      <c r="L13" s="23"/>
    </row>
    <row r="14" spans="2:13" x14ac:dyDescent="0.3">
      <c r="B14" t="s">
        <v>15</v>
      </c>
      <c r="C14" s="9">
        <v>1</v>
      </c>
      <c r="F14" s="16" t="s">
        <v>29</v>
      </c>
      <c r="G14" s="17">
        <v>0.1</v>
      </c>
      <c r="H14" s="16"/>
      <c r="J14" t="s">
        <v>37</v>
      </c>
      <c r="K14" s="22">
        <f>INDEX('Fluid properties'!$A$4:$R$15,1,MATCH($K$13,'Fluid properties'!$3:$3))</f>
        <v>1</v>
      </c>
      <c r="L14" t="s">
        <v>42</v>
      </c>
    </row>
    <row r="15" spans="2:13" x14ac:dyDescent="0.3">
      <c r="B15" t="s">
        <v>16</v>
      </c>
      <c r="C15" s="9">
        <v>1</v>
      </c>
      <c r="J15" t="s">
        <v>38</v>
      </c>
      <c r="K15" s="22">
        <f>INDEX('Fluid properties'!$A$4:$R$15,2,MATCH($K$13,'Fluid properties'!$3:$3))</f>
        <v>2.0000000000000002E-5</v>
      </c>
      <c r="L15" t="s">
        <v>43</v>
      </c>
    </row>
    <row r="16" spans="2:13" x14ac:dyDescent="0.3">
      <c r="B16" t="s">
        <v>17</v>
      </c>
      <c r="C16" s="9">
        <v>30</v>
      </c>
      <c r="F16" t="s">
        <v>5</v>
      </c>
      <c r="G16" s="9">
        <v>0.1</v>
      </c>
      <c r="J16" t="s">
        <v>41</v>
      </c>
      <c r="K16">
        <f>INDEX('Fluid properties'!$A$4:$R$15,3,MATCH($K$13,'Fluid properties'!$3:$3))</f>
        <v>1013</v>
      </c>
      <c r="L16" t="s">
        <v>40</v>
      </c>
    </row>
    <row r="17" spans="2:12" x14ac:dyDescent="0.3">
      <c r="B17" t="s">
        <v>21</v>
      </c>
      <c r="C17" s="9">
        <v>1</v>
      </c>
      <c r="F17" t="s">
        <v>6</v>
      </c>
      <c r="G17" s="9">
        <v>1</v>
      </c>
      <c r="J17" t="s">
        <v>39</v>
      </c>
      <c r="K17">
        <f>INDEX('Fluid properties'!$A$4:$R$15,4,MATCH($K$13,'Fluid properties'!$3:$3))</f>
        <v>2.5000000000000001E-2</v>
      </c>
      <c r="L17" t="s">
        <v>44</v>
      </c>
    </row>
    <row r="18" spans="2:12" x14ac:dyDescent="0.3">
      <c r="B18" t="s">
        <v>18</v>
      </c>
      <c r="C18" s="9">
        <v>1</v>
      </c>
    </row>
    <row r="19" spans="2:12" x14ac:dyDescent="0.3">
      <c r="B19" t="s">
        <v>19</v>
      </c>
      <c r="C19" s="9">
        <v>1</v>
      </c>
      <c r="F19" s="20" t="s">
        <v>30</v>
      </c>
      <c r="G19" s="21">
        <v>1E-3</v>
      </c>
      <c r="H19" s="20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739140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77734375" customWidth="1"/>
  </cols>
  <sheetData>
    <row r="1" spans="1:3" ht="18.600000000000001" thickBot="1" x14ac:dyDescent="0.4">
      <c r="A1" s="4" t="s">
        <v>31</v>
      </c>
      <c r="B1" s="6"/>
      <c r="C1" s="6"/>
    </row>
    <row r="3" spans="1:3" x14ac:dyDescent="0.3">
      <c r="A3" t="s">
        <v>34</v>
      </c>
      <c r="B3" t="s">
        <v>35</v>
      </c>
      <c r="C3" t="s">
        <v>36</v>
      </c>
    </row>
    <row r="4" spans="1:3" x14ac:dyDescent="0.3">
      <c r="A4" t="s">
        <v>37</v>
      </c>
      <c r="B4">
        <v>1</v>
      </c>
      <c r="C4">
        <v>1000</v>
      </c>
    </row>
    <row r="5" spans="1:3" x14ac:dyDescent="0.3">
      <c r="A5" t="s">
        <v>38</v>
      </c>
      <c r="B5" s="22">
        <v>2.0000000000000002E-5</v>
      </c>
      <c r="C5" s="22">
        <v>1E-3</v>
      </c>
    </row>
    <row r="6" spans="1:3" x14ac:dyDescent="0.3">
      <c r="A6" t="s">
        <v>41</v>
      </c>
      <c r="B6">
        <v>1013</v>
      </c>
      <c r="C6">
        <v>4200</v>
      </c>
    </row>
    <row r="7" spans="1:3" x14ac:dyDescent="0.3">
      <c r="A7" t="s">
        <v>39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2018-04-09T14:29:22Z</dcterms:modified>
</cp:coreProperties>
</file>