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. Jakobs\Documents\Git\4RM00_CFD\"/>
    </mc:Choice>
  </mc:AlternateContent>
  <bookViews>
    <workbookView xWindow="0" yWindow="0" windowWidth="23040" windowHeight="9060" activeTab="1"/>
  </bookViews>
  <sheets>
    <sheet name="Constraints" sheetId="1" r:id="rId1"/>
    <sheet name="Grid settings" sheetId="2" r:id="rId2"/>
    <sheet name="Fluid properties" sheetId="3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2" l="1"/>
  <c r="E3" i="2"/>
  <c r="C5" i="2" l="1"/>
  <c r="K17" i="2" l="1"/>
  <c r="K16" i="2"/>
  <c r="K15" i="2"/>
  <c r="K14" i="2"/>
</calcChain>
</file>

<file path=xl/sharedStrings.xml><?xml version="1.0" encoding="utf-8"?>
<sst xmlns="http://schemas.openxmlformats.org/spreadsheetml/2006/main" count="56" uniqueCount="47">
  <si>
    <t>XMAX</t>
  </si>
  <si>
    <t>YMAX</t>
  </si>
  <si>
    <t>NPI</t>
  </si>
  <si>
    <t>NPJ</t>
  </si>
  <si>
    <t>Grid Settings</t>
  </si>
  <si>
    <t>relax_u</t>
  </si>
  <si>
    <t>relax_T</t>
  </si>
  <si>
    <t>solver</t>
  </si>
  <si>
    <t>solve</t>
  </si>
  <si>
    <t>MAX_ITER</t>
  </si>
  <si>
    <t>Temperature and Velocity</t>
  </si>
  <si>
    <t>[m]</t>
  </si>
  <si>
    <t>[K]</t>
  </si>
  <si>
    <t>[m/s]</t>
  </si>
  <si>
    <t>U_ITER</t>
  </si>
  <si>
    <t>V_ITER</t>
  </si>
  <si>
    <t>PC_ITER</t>
  </si>
  <si>
    <t>EPS_ITER</t>
  </si>
  <si>
    <t>K_ITER</t>
  </si>
  <si>
    <t>Relaxation and Iteration</t>
  </si>
  <si>
    <t>T_ITER</t>
  </si>
  <si>
    <t>Legend</t>
  </si>
  <si>
    <t>yplus in u direction</t>
  </si>
  <si>
    <t>yplus in v direction</t>
  </si>
  <si>
    <t>yplus in both directions</t>
  </si>
  <si>
    <t>Gamma</t>
  </si>
  <si>
    <t>Dt</t>
  </si>
  <si>
    <t>Fluid properties</t>
  </si>
  <si>
    <t>Solver</t>
  </si>
  <si>
    <t>U_IN</t>
  </si>
  <si>
    <t>Fluid</t>
  </si>
  <si>
    <t>Air</t>
  </si>
  <si>
    <t>Water</t>
  </si>
  <si>
    <t>density</t>
  </si>
  <si>
    <t>viscosity</t>
  </si>
  <si>
    <t>Thermal conductivity</t>
  </si>
  <si>
    <t>[J/kg/K]</t>
  </si>
  <si>
    <t>Specific heat</t>
  </si>
  <si>
    <t>[kg/m^3]</t>
  </si>
  <si>
    <t>[Pa*s]</t>
  </si>
  <si>
    <t>[W/m/K]</t>
  </si>
  <si>
    <t>NPJ / NPI</t>
  </si>
  <si>
    <t>both u, v fixed, adiabatic</t>
  </si>
  <si>
    <t>both u, v fixed, T is T</t>
  </si>
  <si>
    <t>T0</t>
  </si>
  <si>
    <t>T objects</t>
  </si>
  <si>
    <t>Full slip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</si>
</sst>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4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8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1" diagonalDown="1">
      <left/>
      <right/>
      <top/>
      <bottom/>
      <diagonal style="thin">
        <color auto="1"/>
      </diagonal>
    </border>
  </borders>
  <cellStyleXfs count="3">
    <xf numFmtId="0" fontId="0" fillId="0" borderId="0"/>
    <xf numFmtId="0" fontId="3" fillId="6" borderId="3" applyNumberFormat="0" applyAlignment="0" applyProtection="0"/>
    <xf numFmtId="0" fontId="4" fillId="7" borderId="3" applyNumberFormat="0" applyAlignment="0" applyProtection="0"/>
  </cellStyleXfs>
  <cellXfs count="28">
    <xf numFmtId="0" fontId="0" fillId="0" borderId="0" xfId="0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2" fillId="0" borderId="2" xfId="0" applyFont="1" applyBorder="1"/>
    <xf numFmtId="0" fontId="0" fillId="0" borderId="2" xfId="0" applyBorder="1"/>
    <xf numFmtId="0" fontId="0" fillId="4" borderId="1" xfId="0" applyFill="1" applyBorder="1"/>
    <xf numFmtId="0" fontId="0" fillId="5" borderId="1" xfId="0" applyFill="1" applyBorder="1"/>
    <xf numFmtId="0" fontId="3" fillId="6" borderId="3" xfId="1"/>
    <xf numFmtId="0" fontId="4" fillId="7" borderId="3" xfId="2"/>
    <xf numFmtId="2" fontId="3" fillId="6" borderId="3" xfId="1" applyNumberFormat="1"/>
    <xf numFmtId="0" fontId="0" fillId="8" borderId="1" xfId="0" applyFill="1" applyBorder="1"/>
    <xf numFmtId="0" fontId="2" fillId="0" borderId="0" xfId="0" applyFont="1" applyBorder="1"/>
    <xf numFmtId="0" fontId="0" fillId="9" borderId="1" xfId="0" applyFill="1" applyBorder="1"/>
    <xf numFmtId="0" fontId="0" fillId="0" borderId="0" xfId="0" applyBorder="1"/>
    <xf numFmtId="11" fontId="0" fillId="0" borderId="0" xfId="0" applyNumberFormat="1"/>
    <xf numFmtId="0" fontId="0" fillId="0" borderId="0" xfId="0" applyBorder="1" applyAlignment="1"/>
    <xf numFmtId="0" fontId="3" fillId="6" borderId="3" xfId="1" applyAlignment="1"/>
    <xf numFmtId="0" fontId="0" fillId="10" borderId="1" xfId="0" applyFill="1" applyBorder="1"/>
    <xf numFmtId="0" fontId="0" fillId="11" borderId="1" xfId="0" applyFill="1" applyBorder="1"/>
    <xf numFmtId="2" fontId="0" fillId="0" borderId="2" xfId="0" applyNumberFormat="1" applyFill="1" applyBorder="1"/>
    <xf numFmtId="0" fontId="0" fillId="0" borderId="2" xfId="0" applyFill="1" applyBorder="1"/>
    <xf numFmtId="0" fontId="0" fillId="0" borderId="0" xfId="0" applyFill="1"/>
    <xf numFmtId="0" fontId="2" fillId="0" borderId="2" xfId="0" applyFont="1" applyFill="1" applyBorder="1"/>
    <xf numFmtId="0" fontId="0" fillId="0" borderId="0" xfId="0" applyFill="1" applyBorder="1"/>
    <xf numFmtId="0" fontId="5" fillId="0" borderId="0" xfId="0" applyFont="1" applyFill="1"/>
    <xf numFmtId="0" fontId="0" fillId="0" borderId="4" xfId="0" applyFill="1" applyBorder="1"/>
    <xf numFmtId="0" fontId="3" fillId="6" borderId="3" xfId="1" applyAlignment="1">
      <alignment horizontal="center"/>
    </xf>
  </cellXfs>
  <cellStyles count="3">
    <cellStyle name="Berekening" xfId="2" builtinId="22"/>
    <cellStyle name="Invoer" xfId="1" builtinId="20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C8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7620</xdr:rowOff>
        </xdr:from>
        <xdr:to>
          <xdr:col>3</xdr:col>
          <xdr:colOff>746760</xdr:colOff>
          <xdr:row>6</xdr:row>
          <xdr:rowOff>175260</xdr:rowOff>
        </xdr:to>
        <xdr:sp macro="" textlink="">
          <xdr:nvSpPr>
            <xdr:cNvPr id="2049" name="Knop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(re)set grid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426720</xdr:colOff>
          <xdr:row>7</xdr:row>
          <xdr:rowOff>0</xdr:rowOff>
        </xdr:from>
        <xdr:to>
          <xdr:col>8</xdr:col>
          <xdr:colOff>7620</xdr:colOff>
          <xdr:row>8</xdr:row>
          <xdr:rowOff>175260</xdr:rowOff>
        </xdr:to>
        <xdr:sp macro="" textlink="">
          <xdr:nvSpPr>
            <xdr:cNvPr id="2052" name="Knop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Drop atomic bomb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</xdr:row>
          <xdr:rowOff>152400</xdr:rowOff>
        </xdr:from>
        <xdr:to>
          <xdr:col>3</xdr:col>
          <xdr:colOff>731520</xdr:colOff>
          <xdr:row>8</xdr:row>
          <xdr:rowOff>22860</xdr:rowOff>
        </xdr:to>
        <xdr:sp macro="" textlink="">
          <xdr:nvSpPr>
            <xdr:cNvPr id="2053" name="Selectievakje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Apply no-slip walls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AP82"/>
  <sheetViews>
    <sheetView zoomScale="77" zoomScaleNormal="77" workbookViewId="0">
      <selection sqref="A1:AP82"/>
    </sheetView>
  </sheetViews>
  <sheetFormatPr defaultRowHeight="14.4" x14ac:dyDescent="0.3"/>
  <cols>
    <col min="1" max="42" width="5.5546875" customWidth="1"/>
  </cols>
  <sheetData>
    <row r="1" spans="1:42" ht="6.9" customHeight="1" x14ac:dyDescent="0.3">
      <c r="A1" s="2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2"/>
    </row>
    <row r="2" spans="1:42" ht="6.9" customHeight="1" x14ac:dyDescent="0.3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2"/>
    </row>
    <row r="3" spans="1:42" ht="6.9" customHeight="1" x14ac:dyDescent="0.3">
      <c r="A3" s="2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2"/>
    </row>
    <row r="4" spans="1:42" ht="6.9" customHeight="1" x14ac:dyDescent="0.3">
      <c r="A4" s="2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2"/>
    </row>
    <row r="5" spans="1:42" ht="6.9" customHeight="1" x14ac:dyDescent="0.3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2"/>
    </row>
    <row r="6" spans="1:42" ht="6.9" customHeight="1" x14ac:dyDescent="0.3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2"/>
    </row>
    <row r="7" spans="1:42" ht="6.9" customHeight="1" x14ac:dyDescent="0.3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2"/>
    </row>
    <row r="8" spans="1:42" ht="6.9" customHeight="1" x14ac:dyDescent="0.3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2"/>
    </row>
    <row r="9" spans="1:42" ht="6.9" customHeight="1" x14ac:dyDescent="0.3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2"/>
    </row>
    <row r="10" spans="1:42" ht="6.9" customHeight="1" x14ac:dyDescent="0.3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2"/>
    </row>
    <row r="11" spans="1:42" ht="6.9" customHeight="1" x14ac:dyDescent="0.3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2"/>
    </row>
    <row r="12" spans="1:42" ht="6.9" customHeight="1" x14ac:dyDescent="0.3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2"/>
    </row>
    <row r="13" spans="1:42" ht="6.9" customHeight="1" x14ac:dyDescent="0.3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2"/>
    </row>
    <row r="14" spans="1:42" ht="6.9" customHeight="1" x14ac:dyDescent="0.3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2"/>
    </row>
    <row r="15" spans="1:42" ht="6.9" customHeight="1" x14ac:dyDescent="0.3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2"/>
    </row>
    <row r="16" spans="1:42" ht="6.9" customHeight="1" x14ac:dyDescent="0.3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2"/>
    </row>
    <row r="17" spans="1:42" ht="6.9" customHeight="1" x14ac:dyDescent="0.3">
      <c r="A17" s="2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2"/>
    </row>
    <row r="18" spans="1:42" ht="6.9" customHeight="1" x14ac:dyDescent="0.3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2"/>
    </row>
    <row r="19" spans="1:42" ht="6.9" customHeight="1" x14ac:dyDescent="0.3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2"/>
    </row>
    <row r="20" spans="1:42" ht="6.9" customHeight="1" x14ac:dyDescent="0.3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2"/>
    </row>
    <row r="21" spans="1:42" ht="6.9" customHeight="1" x14ac:dyDescent="0.3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2"/>
    </row>
    <row r="22" spans="1:42" ht="6.9" customHeight="1" x14ac:dyDescent="0.3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2"/>
    </row>
    <row r="23" spans="1:42" ht="6.9" customHeight="1" x14ac:dyDescent="0.3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2"/>
    </row>
    <row r="24" spans="1:42" ht="6.9" customHeight="1" x14ac:dyDescent="0.3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2"/>
    </row>
    <row r="25" spans="1:42" ht="6.9" customHeight="1" x14ac:dyDescent="0.3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2"/>
    </row>
    <row r="26" spans="1:42" ht="6.9" customHeight="1" x14ac:dyDescent="0.3">
      <c r="A26" s="2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2"/>
    </row>
    <row r="27" spans="1:42" ht="6.9" customHeight="1" x14ac:dyDescent="0.3">
      <c r="A27" s="2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2"/>
    </row>
    <row r="28" spans="1:42" ht="6.9" customHeight="1" x14ac:dyDescent="0.3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2"/>
    </row>
    <row r="29" spans="1:42" ht="6.9" customHeight="1" x14ac:dyDescent="0.3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2"/>
    </row>
    <row r="30" spans="1:42" ht="6.9" customHeight="1" x14ac:dyDescent="0.3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2"/>
    </row>
    <row r="31" spans="1:42" ht="6.9" customHeight="1" x14ac:dyDescent="0.3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2"/>
    </row>
    <row r="32" spans="1:42" ht="6.9" customHeight="1" x14ac:dyDescent="0.3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2"/>
    </row>
    <row r="33" spans="1:42" ht="6.9" customHeight="1" x14ac:dyDescent="0.3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2"/>
    </row>
    <row r="34" spans="1:42" ht="6.9" customHeight="1" x14ac:dyDescent="0.3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2"/>
    </row>
    <row r="35" spans="1:42" ht="6.9" customHeight="1" x14ac:dyDescent="0.3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2"/>
    </row>
    <row r="36" spans="1:42" ht="6.9" customHeight="1" x14ac:dyDescent="0.3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2"/>
    </row>
    <row r="37" spans="1:42" ht="6.9" customHeight="1" x14ac:dyDescent="0.3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2"/>
    </row>
    <row r="38" spans="1:42" ht="6.9" customHeight="1" x14ac:dyDescent="0.3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2"/>
    </row>
    <row r="39" spans="1:42" ht="6.9" customHeight="1" x14ac:dyDescent="0.3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2"/>
    </row>
    <row r="40" spans="1:42" ht="6.9" customHeight="1" x14ac:dyDescent="0.3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2"/>
    </row>
    <row r="41" spans="1:42" ht="6.9" customHeight="1" x14ac:dyDescent="0.3">
      <c r="A41" s="2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2"/>
    </row>
    <row r="42" spans="1:42" ht="6.9" customHeight="1" x14ac:dyDescent="0.3">
      <c r="A42" s="2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2"/>
    </row>
    <row r="43" spans="1:42" ht="6.9" customHeight="1" x14ac:dyDescent="0.3">
      <c r="A43" s="2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2"/>
    </row>
    <row r="44" spans="1:42" ht="6.9" customHeight="1" x14ac:dyDescent="0.3">
      <c r="A44" s="2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2"/>
    </row>
    <row r="45" spans="1:42" ht="6.9" customHeight="1" x14ac:dyDescent="0.3">
      <c r="A45" s="2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2"/>
    </row>
    <row r="46" spans="1:42" ht="6.9" customHeight="1" x14ac:dyDescent="0.3">
      <c r="A46" s="2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2"/>
    </row>
    <row r="47" spans="1:42" ht="6.9" customHeight="1" x14ac:dyDescent="0.3">
      <c r="A47" s="2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2"/>
    </row>
    <row r="48" spans="1:42" ht="6.9" customHeight="1" x14ac:dyDescent="0.3">
      <c r="A48" s="2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2"/>
    </row>
    <row r="49" spans="1:42" ht="6.9" customHeight="1" x14ac:dyDescent="0.3">
      <c r="A49" s="2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2"/>
    </row>
    <row r="50" spans="1:42" ht="6.9" customHeight="1" x14ac:dyDescent="0.3">
      <c r="A50" s="2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2"/>
    </row>
    <row r="51" spans="1:42" ht="6.9" customHeight="1" x14ac:dyDescent="0.3">
      <c r="A51" s="2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2"/>
    </row>
    <row r="52" spans="1:42" ht="6.9" customHeight="1" x14ac:dyDescent="0.3">
      <c r="A52" s="2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2"/>
    </row>
    <row r="53" spans="1:42" ht="6.9" customHeight="1" x14ac:dyDescent="0.3">
      <c r="A53" s="2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2"/>
    </row>
    <row r="54" spans="1:42" ht="6.9" customHeight="1" x14ac:dyDescent="0.3">
      <c r="A54" s="2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2"/>
    </row>
    <row r="55" spans="1:42" ht="6.9" customHeight="1" x14ac:dyDescent="0.3">
      <c r="A55" s="2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2"/>
    </row>
    <row r="56" spans="1:42" ht="6.9" customHeight="1" x14ac:dyDescent="0.3">
      <c r="A56" s="2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2"/>
    </row>
    <row r="57" spans="1:42" ht="6.9" customHeight="1" x14ac:dyDescent="0.3">
      <c r="A57" s="2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2"/>
    </row>
    <row r="58" spans="1:42" ht="6.9" customHeight="1" x14ac:dyDescent="0.3">
      <c r="A58" s="2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2"/>
    </row>
    <row r="59" spans="1:42" ht="6.9" customHeight="1" x14ac:dyDescent="0.3">
      <c r="A59" s="2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2"/>
    </row>
    <row r="60" spans="1:42" ht="6.9" customHeight="1" x14ac:dyDescent="0.3">
      <c r="A60" s="2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2"/>
    </row>
    <row r="61" spans="1:42" ht="6.9" customHeight="1" x14ac:dyDescent="0.3">
      <c r="A61" s="2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2"/>
    </row>
    <row r="62" spans="1:42" ht="6.9" customHeight="1" x14ac:dyDescent="0.3">
      <c r="A62" s="2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2"/>
    </row>
    <row r="63" spans="1:42" ht="6.9" customHeight="1" x14ac:dyDescent="0.3">
      <c r="A63" s="2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2"/>
    </row>
    <row r="64" spans="1:42" ht="6.9" customHeight="1" x14ac:dyDescent="0.3">
      <c r="A64" s="2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2"/>
    </row>
    <row r="65" spans="1:42" ht="6.9" customHeight="1" x14ac:dyDescent="0.3">
      <c r="A65" s="2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2"/>
    </row>
    <row r="66" spans="1:42" ht="6.9" customHeight="1" x14ac:dyDescent="0.3">
      <c r="A66" s="2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2"/>
    </row>
    <row r="67" spans="1:42" ht="6.9" customHeight="1" x14ac:dyDescent="0.3">
      <c r="A67" s="2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2"/>
    </row>
    <row r="68" spans="1:42" ht="6.9" customHeight="1" x14ac:dyDescent="0.3">
      <c r="A68" s="2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2"/>
    </row>
    <row r="69" spans="1:42" ht="6.9" customHeight="1" x14ac:dyDescent="0.3">
      <c r="A69" s="2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2"/>
    </row>
    <row r="70" spans="1:42" ht="6.9" customHeight="1" x14ac:dyDescent="0.3">
      <c r="A70" s="2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2"/>
    </row>
    <row r="71" spans="1:42" ht="6.9" customHeight="1" x14ac:dyDescent="0.3">
      <c r="A71" s="2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2"/>
    </row>
    <row r="72" spans="1:42" ht="6.9" customHeight="1" x14ac:dyDescent="0.3">
      <c r="A72" s="2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2"/>
    </row>
    <row r="73" spans="1:42" ht="6.9" customHeight="1" x14ac:dyDescent="0.3">
      <c r="A73" s="2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2"/>
    </row>
    <row r="74" spans="1:42" ht="6.9" customHeight="1" x14ac:dyDescent="0.3">
      <c r="A74" s="2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2"/>
    </row>
    <row r="75" spans="1:42" ht="6.9" customHeight="1" x14ac:dyDescent="0.3">
      <c r="A75" s="2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2"/>
    </row>
    <row r="76" spans="1:42" ht="6.9" customHeight="1" x14ac:dyDescent="0.3">
      <c r="A76" s="2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2"/>
    </row>
    <row r="77" spans="1:42" ht="6.9" customHeight="1" x14ac:dyDescent="0.3">
      <c r="A77" s="2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2"/>
    </row>
    <row r="78" spans="1:42" ht="6.9" customHeight="1" x14ac:dyDescent="0.3">
      <c r="A78" s="2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2"/>
    </row>
    <row r="79" spans="1:42" ht="6.9" customHeight="1" x14ac:dyDescent="0.3">
      <c r="A79" s="2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2"/>
    </row>
    <row r="80" spans="1:42" ht="6.9" customHeight="1" x14ac:dyDescent="0.3">
      <c r="A80" s="2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2"/>
    </row>
    <row r="81" spans="1:42" ht="6.9" customHeight="1" x14ac:dyDescent="0.3">
      <c r="A81" s="2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2"/>
    </row>
    <row r="82" spans="1:42" ht="6.9" customHeight="1" x14ac:dyDescent="0.3">
      <c r="A82" s="2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  <c r="AI82" s="19"/>
      <c r="AJ82" s="19"/>
      <c r="AK82" s="19"/>
      <c r="AL82" s="19"/>
      <c r="AM82" s="19"/>
      <c r="AN82" s="19"/>
      <c r="AO82" s="19"/>
      <c r="AP82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B1:M23"/>
  <sheetViews>
    <sheetView tabSelected="1" workbookViewId="0">
      <selection activeCell="I22" sqref="I22"/>
    </sheetView>
  </sheetViews>
  <sheetFormatPr defaultRowHeight="14.4" x14ac:dyDescent="0.3"/>
  <cols>
    <col min="1" max="1" width="8.88671875" customWidth="1"/>
    <col min="2" max="2" width="10.33203125" customWidth="1"/>
    <col min="4" max="4" width="10.88671875" customWidth="1"/>
    <col min="10" max="10" width="18" customWidth="1"/>
    <col min="12" max="12" width="12.33203125" customWidth="1"/>
  </cols>
  <sheetData>
    <row r="1" spans="2:13" ht="18.600000000000001" thickBot="1" x14ac:dyDescent="0.4">
      <c r="B1" s="4" t="s">
        <v>4</v>
      </c>
      <c r="C1" s="20"/>
      <c r="D1" s="21"/>
      <c r="E1" s="22"/>
      <c r="F1" s="23" t="s">
        <v>10</v>
      </c>
      <c r="G1" s="21"/>
      <c r="H1" s="21"/>
      <c r="J1" s="12" t="s">
        <v>21</v>
      </c>
      <c r="K1" s="5"/>
      <c r="L1" s="5"/>
    </row>
    <row r="2" spans="2:13" ht="14.4" customHeight="1" x14ac:dyDescent="0.3">
      <c r="C2" s="22"/>
      <c r="D2" s="22"/>
      <c r="E2" s="22"/>
      <c r="F2" s="22"/>
      <c r="G2" s="22"/>
      <c r="H2" s="22"/>
      <c r="J2" s="6"/>
      <c r="K2" t="s">
        <v>42</v>
      </c>
      <c r="M2">
        <v>0</v>
      </c>
    </row>
    <row r="3" spans="2:13" x14ac:dyDescent="0.3">
      <c r="B3" t="s">
        <v>0</v>
      </c>
      <c r="C3" s="10">
        <v>0.8</v>
      </c>
      <c r="D3" s="22" t="s">
        <v>11</v>
      </c>
      <c r="E3" s="22">
        <f>C3/C6</f>
        <v>0.02</v>
      </c>
      <c r="F3" s="22" t="s">
        <v>44</v>
      </c>
      <c r="G3" s="8">
        <v>273</v>
      </c>
      <c r="H3" s="22" t="s">
        <v>12</v>
      </c>
      <c r="J3" s="18"/>
      <c r="K3" t="s">
        <v>43</v>
      </c>
      <c r="M3">
        <v>3</v>
      </c>
    </row>
    <row r="4" spans="2:13" x14ac:dyDescent="0.3">
      <c r="B4" t="s">
        <v>1</v>
      </c>
      <c r="C4" s="10">
        <v>0.2</v>
      </c>
      <c r="D4" s="22" t="s">
        <v>11</v>
      </c>
      <c r="E4" s="22">
        <f>C4/C7</f>
        <v>2.5000000000000001E-3</v>
      </c>
      <c r="F4" s="22" t="s">
        <v>45</v>
      </c>
      <c r="G4" s="8">
        <v>700</v>
      </c>
      <c r="H4" s="22" t="s">
        <v>12</v>
      </c>
      <c r="J4" s="13"/>
      <c r="K4" t="s">
        <v>46</v>
      </c>
      <c r="M4">
        <v>10</v>
      </c>
    </row>
    <row r="5" spans="2:13" x14ac:dyDescent="0.3">
      <c r="B5" s="14" t="s">
        <v>41</v>
      </c>
      <c r="C5" s="9">
        <f>C7/C6</f>
        <v>2</v>
      </c>
      <c r="D5" s="24"/>
      <c r="E5" s="22"/>
      <c r="F5" s="22" t="s">
        <v>29</v>
      </c>
      <c r="G5" s="8">
        <v>0.1</v>
      </c>
      <c r="H5" s="22" t="s">
        <v>13</v>
      </c>
      <c r="J5" s="3"/>
      <c r="K5" t="s">
        <v>22</v>
      </c>
      <c r="M5">
        <v>44</v>
      </c>
    </row>
    <row r="6" spans="2:13" x14ac:dyDescent="0.3">
      <c r="B6" t="s">
        <v>2</v>
      </c>
      <c r="C6" s="8">
        <v>40</v>
      </c>
      <c r="D6" s="22"/>
      <c r="E6" s="22"/>
      <c r="F6" s="22"/>
      <c r="G6" s="22"/>
      <c r="H6" s="22"/>
      <c r="J6" s="7"/>
      <c r="K6" t="s">
        <v>23</v>
      </c>
      <c r="M6">
        <v>42</v>
      </c>
    </row>
    <row r="7" spans="2:13" x14ac:dyDescent="0.3">
      <c r="B7" t="s">
        <v>3</v>
      </c>
      <c r="C7" s="8">
        <v>80</v>
      </c>
      <c r="D7" s="22"/>
      <c r="E7" s="22"/>
      <c r="F7" s="22"/>
      <c r="G7" s="22"/>
      <c r="H7" s="22"/>
      <c r="J7" s="11"/>
      <c r="K7" t="s">
        <v>24</v>
      </c>
      <c r="M7">
        <v>41</v>
      </c>
    </row>
    <row r="8" spans="2:13" x14ac:dyDescent="0.3">
      <c r="C8" s="25" t="b">
        <v>1</v>
      </c>
      <c r="D8" s="22"/>
      <c r="E8" s="22"/>
      <c r="F8" s="22"/>
      <c r="G8" s="22"/>
      <c r="H8" s="22"/>
    </row>
    <row r="9" spans="2:13" x14ac:dyDescent="0.3">
      <c r="C9" s="22"/>
      <c r="D9" s="22"/>
      <c r="E9" s="22"/>
      <c r="F9" s="22"/>
      <c r="G9" s="22"/>
      <c r="H9" s="22"/>
    </row>
    <row r="10" spans="2:13" x14ac:dyDescent="0.3">
      <c r="C10" s="22"/>
      <c r="D10" s="22"/>
      <c r="E10" s="22"/>
      <c r="F10" s="22"/>
      <c r="G10" s="22"/>
      <c r="H10" s="22"/>
    </row>
    <row r="11" spans="2:13" ht="18.600000000000001" thickBot="1" x14ac:dyDescent="0.4">
      <c r="B11" s="4" t="s">
        <v>19</v>
      </c>
      <c r="C11" s="21"/>
      <c r="D11" s="21"/>
      <c r="E11" s="22"/>
      <c r="F11" s="23" t="s">
        <v>28</v>
      </c>
      <c r="G11" s="21"/>
      <c r="H11" s="21"/>
      <c r="J11" s="4" t="s">
        <v>27</v>
      </c>
      <c r="K11" s="5"/>
      <c r="L11" s="5"/>
    </row>
    <row r="12" spans="2:13" x14ac:dyDescent="0.3">
      <c r="C12" s="22"/>
      <c r="D12" s="22"/>
      <c r="E12" s="22"/>
      <c r="F12" s="22"/>
      <c r="G12" s="22"/>
      <c r="H12" s="22"/>
    </row>
    <row r="13" spans="2:13" x14ac:dyDescent="0.3">
      <c r="B13" t="s">
        <v>9</v>
      </c>
      <c r="C13" s="8">
        <v>100</v>
      </c>
      <c r="D13" s="22"/>
      <c r="E13" s="22"/>
      <c r="F13" s="26" t="s">
        <v>7</v>
      </c>
      <c r="G13" s="27" t="s">
        <v>8</v>
      </c>
      <c r="H13" s="27"/>
      <c r="J13" t="s">
        <v>30</v>
      </c>
      <c r="K13" s="17" t="s">
        <v>31</v>
      </c>
      <c r="L13" s="16"/>
    </row>
    <row r="14" spans="2:13" x14ac:dyDescent="0.3">
      <c r="B14" t="s">
        <v>14</v>
      </c>
      <c r="C14" s="8">
        <v>1</v>
      </c>
      <c r="D14" s="22"/>
      <c r="E14" s="22"/>
      <c r="F14" s="26" t="s">
        <v>25</v>
      </c>
      <c r="G14" s="8">
        <v>0.1</v>
      </c>
      <c r="H14" s="26"/>
      <c r="J14" t="s">
        <v>33</v>
      </c>
      <c r="K14" s="15">
        <f>INDEX('Fluid properties'!$A$4:$R$15,1,MATCH($K$13,'Fluid properties'!$3:$3))</f>
        <v>1</v>
      </c>
      <c r="L14" t="s">
        <v>38</v>
      </c>
    </row>
    <row r="15" spans="2:13" x14ac:dyDescent="0.3">
      <c r="B15" t="s">
        <v>15</v>
      </c>
      <c r="C15" s="8">
        <v>1</v>
      </c>
      <c r="D15" s="22"/>
      <c r="E15" s="22"/>
      <c r="F15" s="22"/>
      <c r="G15" s="22"/>
      <c r="H15" s="22"/>
      <c r="J15" t="s">
        <v>34</v>
      </c>
      <c r="K15" s="15">
        <f>INDEX('Fluid properties'!$A$4:$R$15,2,MATCH($K$13,'Fluid properties'!$3:$3))</f>
        <v>2.0000000000000002E-5</v>
      </c>
      <c r="L15" t="s">
        <v>39</v>
      </c>
    </row>
    <row r="16" spans="2:13" x14ac:dyDescent="0.3">
      <c r="B16" t="s">
        <v>16</v>
      </c>
      <c r="C16" s="8">
        <v>30</v>
      </c>
      <c r="D16" s="22"/>
      <c r="E16" s="22"/>
      <c r="F16" s="22" t="s">
        <v>5</v>
      </c>
      <c r="G16" s="8">
        <v>0.1</v>
      </c>
      <c r="H16" s="22"/>
      <c r="J16" t="s">
        <v>37</v>
      </c>
      <c r="K16">
        <f>INDEX('Fluid properties'!$A$4:$R$15,3,MATCH($K$13,'Fluid properties'!$3:$3))</f>
        <v>1013</v>
      </c>
      <c r="L16" t="s">
        <v>36</v>
      </c>
    </row>
    <row r="17" spans="2:12" x14ac:dyDescent="0.3">
      <c r="B17" t="s">
        <v>20</v>
      </c>
      <c r="C17" s="8">
        <v>1</v>
      </c>
      <c r="D17" s="22"/>
      <c r="E17" s="22"/>
      <c r="F17" s="22" t="s">
        <v>6</v>
      </c>
      <c r="G17" s="8">
        <v>1</v>
      </c>
      <c r="H17" s="22"/>
      <c r="J17" t="s">
        <v>35</v>
      </c>
      <c r="K17">
        <f>INDEX('Fluid properties'!$A$4:$R$15,4,MATCH($K$13,'Fluid properties'!$3:$3))</f>
        <v>2.5000000000000001E-2</v>
      </c>
      <c r="L17" t="s">
        <v>40</v>
      </c>
    </row>
    <row r="18" spans="2:12" x14ac:dyDescent="0.3">
      <c r="B18" t="s">
        <v>17</v>
      </c>
      <c r="C18" s="8">
        <v>1</v>
      </c>
      <c r="D18" s="22"/>
      <c r="E18" s="22"/>
      <c r="F18" s="22"/>
      <c r="G18" s="22"/>
      <c r="H18" s="22"/>
    </row>
    <row r="19" spans="2:12" x14ac:dyDescent="0.3">
      <c r="B19" t="s">
        <v>18</v>
      </c>
      <c r="C19" s="8">
        <v>1</v>
      </c>
      <c r="D19" s="22"/>
      <c r="E19" s="22"/>
      <c r="F19" s="24" t="s">
        <v>26</v>
      </c>
      <c r="G19" s="8">
        <v>8.0000000000000002E-3</v>
      </c>
      <c r="H19" s="24"/>
    </row>
    <row r="20" spans="2:12" x14ac:dyDescent="0.3">
      <c r="C20" s="22"/>
      <c r="D20" s="22"/>
      <c r="E20" s="22"/>
      <c r="F20" s="22"/>
      <c r="G20" s="22"/>
      <c r="H20" s="22"/>
    </row>
    <row r="21" spans="2:12" x14ac:dyDescent="0.3">
      <c r="C21" s="22"/>
      <c r="D21" s="22"/>
      <c r="E21" s="22"/>
      <c r="F21" s="22"/>
      <c r="G21" s="22"/>
      <c r="H21" s="22"/>
    </row>
    <row r="22" spans="2:12" x14ac:dyDescent="0.3">
      <c r="C22" s="22"/>
      <c r="D22" s="22"/>
      <c r="E22" s="22"/>
      <c r="F22" s="22"/>
      <c r="G22" s="22"/>
      <c r="H22" s="22"/>
    </row>
    <row r="23" spans="2:12" x14ac:dyDescent="0.3">
      <c r="C23" s="22"/>
      <c r="D23" s="22"/>
      <c r="E23" s="22"/>
      <c r="F23" s="22"/>
      <c r="G23" s="22"/>
      <c r="H23" s="22"/>
    </row>
  </sheetData>
  <mergeCells count="1">
    <mergeCell ref="G13:H13"/>
  </mergeCells>
  <dataValidations count="2">
    <dataValidation type="list" allowBlank="1" showInputMessage="1" showErrorMessage="1" sqref="G13:H13">
      <formula1>"solve,solveGS,solveSOR"</formula1>
    </dataValidation>
    <dataValidation type="list" allowBlank="1" showInputMessage="1" showErrorMessage="1" sqref="K13">
      <formula1>"Air,Water"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Knop 1">
              <controlPr defaultSize="0" print="0" autoFill="0" autoPict="0" macro="[0]!Blad2.Adjust_grid">
                <anchor moveWithCells="1">
                  <from>
                    <xdr:col>3</xdr:col>
                    <xdr:colOff>0</xdr:colOff>
                    <xdr:row>5</xdr:row>
                    <xdr:rowOff>7620</xdr:rowOff>
                  </from>
                  <to>
                    <xdr:col>3</xdr:col>
                    <xdr:colOff>746760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Knop 4">
              <controlPr defaultSize="0" print="0" autoFill="0" autoPict="0" macro="[0]!Blad1.convert">
                <anchor moveWithCells="1">
                  <from>
                    <xdr:col>5</xdr:col>
                    <xdr:colOff>426720</xdr:colOff>
                    <xdr:row>7</xdr:row>
                    <xdr:rowOff>0</xdr:rowOff>
                  </from>
                  <to>
                    <xdr:col>8</xdr:col>
                    <xdr:colOff>7620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Selectievakje 5">
              <controlPr defaultSize="0" autoFill="0" autoLine="0" autoPict="0">
                <anchor moveWithCells="1">
                  <from>
                    <xdr:col>2</xdr:col>
                    <xdr:colOff>22860</xdr:colOff>
                    <xdr:row>6</xdr:row>
                    <xdr:rowOff>152400</xdr:rowOff>
                  </from>
                  <to>
                    <xdr:col>3</xdr:col>
                    <xdr:colOff>731520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C7"/>
  <sheetViews>
    <sheetView workbookViewId="0">
      <selection activeCell="D2" sqref="D2"/>
    </sheetView>
  </sheetViews>
  <sheetFormatPr defaultRowHeight="14.4" x14ac:dyDescent="0.3"/>
  <cols>
    <col min="1" max="1" width="17.6640625" customWidth="1"/>
  </cols>
  <sheetData>
    <row r="1" spans="1:3" ht="18.600000000000001" thickBot="1" x14ac:dyDescent="0.4">
      <c r="A1" s="4" t="s">
        <v>27</v>
      </c>
      <c r="B1" s="5"/>
      <c r="C1" s="5"/>
    </row>
    <row r="3" spans="1:3" x14ac:dyDescent="0.3">
      <c r="A3" t="s">
        <v>30</v>
      </c>
      <c r="B3" t="s">
        <v>31</v>
      </c>
      <c r="C3" t="s">
        <v>32</v>
      </c>
    </row>
    <row r="4" spans="1:3" x14ac:dyDescent="0.3">
      <c r="A4" t="s">
        <v>33</v>
      </c>
      <c r="B4">
        <v>1</v>
      </c>
      <c r="C4">
        <v>1000</v>
      </c>
    </row>
    <row r="5" spans="1:3" x14ac:dyDescent="0.3">
      <c r="A5" t="s">
        <v>34</v>
      </c>
      <c r="B5" s="15">
        <v>2.0000000000000002E-5</v>
      </c>
      <c r="C5" s="15">
        <v>1E-3</v>
      </c>
    </row>
    <row r="6" spans="1:3" x14ac:dyDescent="0.3">
      <c r="A6" t="s">
        <v>37</v>
      </c>
      <c r="B6">
        <v>1013</v>
      </c>
      <c r="C6">
        <v>4200</v>
      </c>
    </row>
    <row r="7" spans="1:3" x14ac:dyDescent="0.3">
      <c r="A7" t="s">
        <v>35</v>
      </c>
      <c r="B7">
        <v>2.5000000000000001E-2</v>
      </c>
      <c r="C7">
        <v>0.59099999999999997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Constraints</vt:lpstr>
      <vt:lpstr>Grid settings</vt:lpstr>
      <vt:lpstr>Fluid properties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2018-03-27T12:06:22Z</dcterms:created>
  <dcterms:modified xsi:type="dcterms:W3CDTF">2018-04-11T08:14:54Z</dcterms:modified>
</cp:coreProperties>
</file>