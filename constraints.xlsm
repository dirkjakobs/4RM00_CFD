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180" windowWidth="23040" windowHeight="8880" activeTab="1"/>
  </bookViews>
  <sheets>
    <sheet name="Constraints" sheetId="1" r:id="rId1"/>
    <sheet name="Grid settings" sheetId="2" r:id="rId2"/>
    <sheet name="Fluid properties" sheetId="3" r:id="rId3"/>
  </sheets>
  <calcPr calcId="145621"/>
</workbook>
</file>

<file path=xl/calcChain.xml><?xml version="1.0" encoding="utf-8"?>
<calcChain xmlns="http://schemas.openxmlformats.org/spreadsheetml/2006/main">
  <c r="C6" i="2" l="1"/>
  <c r="C5" i="2" s="1"/>
  <c r="C34" i="2"/>
  <c r="C30" i="2"/>
  <c r="C33" i="2" l="1"/>
  <c r="C28" i="2"/>
  <c r="C31" i="2" s="1"/>
  <c r="F28" i="2" s="1"/>
  <c r="C27" i="2"/>
  <c r="F27" i="2" s="1"/>
  <c r="F31" i="2" l="1"/>
  <c r="H31" i="2" s="1"/>
  <c r="F24" i="2"/>
  <c r="F30" i="2"/>
  <c r="H25" i="2"/>
  <c r="H24" i="2" l="1"/>
  <c r="K17" i="2" l="1"/>
  <c r="K16" i="2"/>
  <c r="K15" i="2"/>
  <c r="K14" i="2"/>
  <c r="H30" i="2"/>
  <c r="H28" i="2"/>
  <c r="H27" i="2" l="1"/>
</calcChain>
</file>

<file path=xl/sharedStrings.xml><?xml version="1.0" encoding="utf-8"?>
<sst xmlns="http://schemas.openxmlformats.org/spreadsheetml/2006/main" count="81" uniqueCount="60">
  <si>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</si>
  <si>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</si>
  <si>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</si>
  <si>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</si>
  <si>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</si>
  <si>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</si>
  <si>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</si>
  <si>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</si>
  <si>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</si>
  <si>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</si>
  <si>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</si>
  <si>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</si>
  <si>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</si>
  <si>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</si>
  <si>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</si>
  <si>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</si>
  <si>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</si>
  <si>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</si>
  <si>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</si>
  <si>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</si>
  <si>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</si>
  <si>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</si>
  <si>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</si>
  <si>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</si>
  <si>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</si>
  <si>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</si>
  <si>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</si>
  <si>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</si>
  <si>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</si>
  <si>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</si>
  <si>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</si>
  <si>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</si>
  <si>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</si>
  <si>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</si>
  <si>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</si>
  <si>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</si>
  <si>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</si>
  <si>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</si>
  <si>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</si>
  <si>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</si>
  <si>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</si>
  <si>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</si>
  <si>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</si>
  <si>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</si>
  <si>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</si>
  <si>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</si>
  <si>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</si>
  <si>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</si>
  <si>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</si>
  <si>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</si>
  <si>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</si>
  <si>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</si>
  <si>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</si>
  <si>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</si>
  <si>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</si>
  <si>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Square</t>
  </si>
  <si>
    <t>*D</t>
  </si>
  <si>
    <t>DX</t>
  </si>
  <si>
    <t>DY</t>
  </si>
  <si>
    <t>[m / cell]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</si>
</sst>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rgb="FF1F497D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32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0" fillId="11" borderId="1" xfId="0" applyFill="1" applyBorder="1"/>
    <xf numFmtId="0" fontId="0" fillId="12" borderId="1" xfId="0" applyFill="1" applyBorder="1"/>
    <xf numFmtId="0" fontId="7" fillId="0" borderId="0" xfId="0" applyFont="1"/>
    <xf numFmtId="0" fontId="2" fillId="6" borderId="3" xfId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C8" lockText="1" noThreeD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171450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7</xdr:row>
          <xdr:rowOff>0</xdr:rowOff>
        </xdr:from>
        <xdr:to>
          <xdr:col>8</xdr:col>
          <xdr:colOff>9525</xdr:colOff>
          <xdr:row>8</xdr:row>
          <xdr:rowOff>171450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152400</xdr:rowOff>
        </xdr:from>
        <xdr:to>
          <xdr:col>4</xdr:col>
          <xdr:colOff>0</xdr:colOff>
          <xdr:row>8</xdr:row>
          <xdr:rowOff>19050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21</xdr:row>
          <xdr:rowOff>0</xdr:rowOff>
        </xdr:from>
        <xdr:to>
          <xdr:col>7</xdr:col>
          <xdr:colOff>133350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OL43"/>
  <sheetViews>
    <sheetView zoomScale="58" zoomScaleNormal="58" workbookViewId="0">
      <selection activeCell="P53" sqref="P53"/>
    </sheetView>
  </sheetViews>
  <sheetFormatPr defaultRowHeight="15" x14ac:dyDescent="0.25"/>
  <cols>
    <col min="1" max="403" width="2.7109375" customWidth="1"/>
  </cols>
  <sheetData>
    <row r="1" spans="1:402" ht="15" customHeight="1" x14ac:dyDescent="0.25">
      <c r="A1" s="2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28"/>
      <c r="MN1" s="28"/>
      <c r="MO1" s="28"/>
      <c r="MP1" s="28"/>
      <c r="MQ1" s="28"/>
      <c r="MR1" s="28"/>
      <c r="MS1" s="28"/>
      <c r="MT1" s="28"/>
      <c r="MU1" s="28"/>
      <c r="MV1" s="28"/>
      <c r="MW1" s="28"/>
      <c r="MX1" s="28"/>
      <c r="MY1" s="28"/>
      <c r="MZ1" s="28"/>
      <c r="NA1" s="28"/>
      <c r="NB1" s="28"/>
      <c r="NC1" s="28"/>
      <c r="ND1" s="28"/>
      <c r="NE1" s="28"/>
      <c r="NF1" s="28"/>
      <c r="NG1" s="28"/>
      <c r="NH1" s="28"/>
      <c r="NI1" s="28"/>
      <c r="NJ1" s="28"/>
      <c r="NK1" s="28"/>
      <c r="NL1" s="28"/>
      <c r="NM1" s="28"/>
      <c r="NN1" s="28"/>
      <c r="NO1" s="28"/>
      <c r="NP1" s="28"/>
      <c r="NQ1" s="28"/>
      <c r="NR1" s="28"/>
      <c r="NS1" s="28"/>
      <c r="NT1" s="28"/>
      <c r="NU1" s="28"/>
      <c r="NV1" s="28"/>
      <c r="NW1" s="28"/>
      <c r="NX1" s="28"/>
      <c r="NY1" s="28"/>
      <c r="NZ1" s="28"/>
      <c r="OA1" s="28"/>
      <c r="OB1" s="28"/>
      <c r="OC1" s="28"/>
      <c r="OD1" s="28"/>
      <c r="OE1" s="28"/>
      <c r="OF1" s="28"/>
      <c r="OG1" s="28"/>
      <c r="OH1" s="28"/>
      <c r="OI1" s="28"/>
      <c r="OJ1" s="28"/>
      <c r="OK1" s="28"/>
      <c r="OL1" s="2"/>
    </row>
    <row r="2" spans="1:402" ht="15" customHeight="1" x14ac:dyDescent="0.25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11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11"/>
      <c r="AR2" s="3"/>
      <c r="AS2" s="3"/>
      <c r="AT2" s="3"/>
      <c r="AU2" s="3"/>
      <c r="AV2" s="11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11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2"/>
    </row>
    <row r="3" spans="1:402" ht="15" customHeight="1" x14ac:dyDescent="0.25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7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7"/>
      <c r="AR3" s="1"/>
      <c r="AS3" s="1"/>
      <c r="AT3" s="1"/>
      <c r="AU3" s="1"/>
      <c r="AV3" s="7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7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2"/>
    </row>
    <row r="4" spans="1:402" ht="15" customHeight="1" x14ac:dyDescent="0.25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1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11"/>
      <c r="AQ4" s="1"/>
      <c r="AR4" s="1"/>
      <c r="AS4" s="1"/>
      <c r="AT4" s="1"/>
      <c r="AU4" s="1"/>
      <c r="AV4" s="1"/>
      <c r="AW4" s="11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1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2"/>
    </row>
    <row r="5" spans="1:402" ht="1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7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7"/>
      <c r="AQ5" s="1"/>
      <c r="AR5" s="1"/>
      <c r="AS5" s="1"/>
      <c r="AT5" s="1"/>
      <c r="AU5" s="1"/>
      <c r="AV5" s="1"/>
      <c r="AW5" s="7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7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2"/>
    </row>
    <row r="6" spans="1:402" ht="15" customHeight="1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1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11"/>
      <c r="AP6" s="1"/>
      <c r="AQ6" s="1"/>
      <c r="AR6" s="1"/>
      <c r="AS6" s="1"/>
      <c r="AT6" s="1"/>
      <c r="AU6" s="1"/>
      <c r="AV6" s="1"/>
      <c r="AW6" s="1"/>
      <c r="AX6" s="11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1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2"/>
    </row>
    <row r="7" spans="1:402" ht="15" customHeight="1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1"/>
      <c r="AF7" s="29"/>
      <c r="AG7" s="29"/>
      <c r="AH7" s="29"/>
      <c r="AI7" s="29"/>
      <c r="AJ7" s="29"/>
      <c r="AK7" s="29"/>
      <c r="AL7" s="29"/>
      <c r="AM7" s="29"/>
      <c r="AN7" s="11"/>
      <c r="AO7" s="1"/>
      <c r="AP7" s="1"/>
      <c r="AQ7" s="1"/>
      <c r="AR7" s="1"/>
      <c r="AS7" s="1"/>
      <c r="AT7" s="1"/>
      <c r="AU7" s="1"/>
      <c r="AV7" s="1"/>
      <c r="AW7" s="1"/>
      <c r="AX7" s="1"/>
      <c r="AY7" s="11"/>
      <c r="AZ7" s="29"/>
      <c r="BA7" s="29"/>
      <c r="BB7" s="29"/>
      <c r="BC7" s="29"/>
      <c r="BD7" s="29"/>
      <c r="BE7" s="29"/>
      <c r="BF7" s="29"/>
      <c r="BG7" s="29"/>
      <c r="BH7" s="1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2"/>
    </row>
    <row r="8" spans="1:402" ht="15" customHeight="1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3"/>
      <c r="AG8" s="11"/>
      <c r="AH8" s="29"/>
      <c r="AI8" s="29"/>
      <c r="AJ8" s="29"/>
      <c r="AK8" s="29"/>
      <c r="AL8" s="11"/>
      <c r="AM8" s="3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3"/>
      <c r="BA8" s="11"/>
      <c r="BB8" s="29"/>
      <c r="BC8" s="29"/>
      <c r="BD8" s="29"/>
      <c r="BE8" s="29"/>
      <c r="BF8" s="11"/>
      <c r="BG8" s="3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2"/>
    </row>
    <row r="9" spans="1:402" ht="15" customHeight="1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3"/>
      <c r="AI9" s="3"/>
      <c r="AJ9" s="3"/>
      <c r="AK9" s="3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3"/>
      <c r="BC9" s="3"/>
      <c r="BD9" s="3"/>
      <c r="BE9" s="3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2"/>
    </row>
    <row r="10" spans="1:402" ht="15" customHeight="1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2"/>
    </row>
    <row r="11" spans="1:402" ht="15" customHeight="1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2"/>
    </row>
    <row r="12" spans="1:402" ht="15" customHeight="1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2"/>
    </row>
    <row r="13" spans="1:402" ht="15" customHeight="1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2"/>
    </row>
    <row r="14" spans="1:402" ht="15" customHeight="1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3"/>
      <c r="AI14" s="3"/>
      <c r="AJ14" s="3"/>
      <c r="AK14" s="3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3"/>
      <c r="BC14" s="3"/>
      <c r="BD14" s="3"/>
      <c r="BE14" s="3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2"/>
    </row>
    <row r="15" spans="1:402" ht="15" customHeight="1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3"/>
      <c r="AG15" s="11"/>
      <c r="AH15" s="29"/>
      <c r="AI15" s="29"/>
      <c r="AJ15" s="29"/>
      <c r="AK15" s="29"/>
      <c r="AL15" s="11"/>
      <c r="AM15" s="3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3"/>
      <c r="BA15" s="11"/>
      <c r="BB15" s="29"/>
      <c r="BC15" s="29"/>
      <c r="BD15" s="29"/>
      <c r="BE15" s="29"/>
      <c r="BF15" s="11"/>
      <c r="BG15" s="3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2"/>
    </row>
    <row r="16" spans="1:402" ht="15" customHeight="1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1"/>
      <c r="AF16" s="29"/>
      <c r="AG16" s="29"/>
      <c r="AH16" s="29"/>
      <c r="AI16" s="29"/>
      <c r="AJ16" s="29"/>
      <c r="AK16" s="29"/>
      <c r="AL16" s="29"/>
      <c r="AM16" s="29"/>
      <c r="AN16" s="1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1"/>
      <c r="AZ16" s="29"/>
      <c r="BA16" s="29"/>
      <c r="BB16" s="29"/>
      <c r="BC16" s="29"/>
      <c r="BD16" s="29"/>
      <c r="BE16" s="29"/>
      <c r="BF16" s="29"/>
      <c r="BG16" s="29"/>
      <c r="BH16" s="1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2"/>
    </row>
    <row r="17" spans="1:402" ht="15" customHeight="1" x14ac:dyDescent="0.25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1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11"/>
      <c r="AP17" s="1"/>
      <c r="AQ17" s="1"/>
      <c r="AR17" s="1"/>
      <c r="AS17" s="1"/>
      <c r="AT17" s="1"/>
      <c r="AU17" s="1"/>
      <c r="AV17" s="1"/>
      <c r="AW17" s="1"/>
      <c r="AX17" s="11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1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2"/>
    </row>
    <row r="18" spans="1:402" ht="15" customHeight="1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7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7"/>
      <c r="AQ18" s="1"/>
      <c r="AR18" s="1"/>
      <c r="AS18" s="1"/>
      <c r="AT18" s="1"/>
      <c r="AU18" s="1"/>
      <c r="AV18" s="1"/>
      <c r="AW18" s="7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7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2"/>
    </row>
    <row r="19" spans="1:402" ht="15" customHeight="1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1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11"/>
      <c r="AQ19" s="1"/>
      <c r="AR19" s="1"/>
      <c r="AS19" s="1"/>
      <c r="AT19" s="1"/>
      <c r="AU19" s="1"/>
      <c r="AV19" s="1"/>
      <c r="AW19" s="11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1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2"/>
    </row>
    <row r="20" spans="1:402" ht="15" customHeight="1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7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7"/>
      <c r="AR20" s="1"/>
      <c r="AS20" s="1"/>
      <c r="AT20" s="1"/>
      <c r="AU20" s="1"/>
      <c r="AV20" s="7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7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2"/>
    </row>
    <row r="21" spans="1:402" ht="15" customHeight="1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7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7"/>
      <c r="AR21" s="1"/>
      <c r="AS21" s="1"/>
      <c r="AT21" s="1"/>
      <c r="AU21" s="1"/>
      <c r="AV21" s="7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7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2"/>
    </row>
    <row r="22" spans="1:402" ht="15" customHeight="1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7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7"/>
      <c r="AR22" s="1"/>
      <c r="AS22" s="1"/>
      <c r="AT22" s="1"/>
      <c r="AU22" s="1"/>
      <c r="AV22" s="7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7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2"/>
    </row>
    <row r="23" spans="1:402" ht="15" customHeight="1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7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7"/>
      <c r="AR23" s="1"/>
      <c r="AS23" s="1"/>
      <c r="AT23" s="1"/>
      <c r="AU23" s="1"/>
      <c r="AV23" s="7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7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2"/>
    </row>
    <row r="24" spans="1:402" ht="15" customHeight="1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1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11"/>
      <c r="AQ24" s="1"/>
      <c r="AR24" s="1"/>
      <c r="AS24" s="1"/>
      <c r="AT24" s="1"/>
      <c r="AU24" s="1"/>
      <c r="AV24" s="1"/>
      <c r="AW24" s="11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1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2"/>
    </row>
    <row r="25" spans="1:402" ht="15" customHeight="1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7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7"/>
      <c r="AQ25" s="1"/>
      <c r="AR25" s="1"/>
      <c r="AS25" s="1"/>
      <c r="AT25" s="1"/>
      <c r="AU25" s="1"/>
      <c r="AV25" s="1"/>
      <c r="AW25" s="7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7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2"/>
    </row>
    <row r="26" spans="1:402" ht="15" customHeight="1" x14ac:dyDescent="0.25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1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11"/>
      <c r="AP26" s="1"/>
      <c r="AQ26" s="1"/>
      <c r="AR26" s="1"/>
      <c r="AS26" s="1"/>
      <c r="AT26" s="1"/>
      <c r="AU26" s="1"/>
      <c r="AV26" s="1"/>
      <c r="AW26" s="1"/>
      <c r="AX26" s="11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1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2"/>
    </row>
    <row r="27" spans="1:402" ht="15" customHeight="1" x14ac:dyDescent="0.25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1"/>
      <c r="AF27" s="29"/>
      <c r="AG27" s="29"/>
      <c r="AH27" s="29"/>
      <c r="AI27" s="29"/>
      <c r="AJ27" s="29"/>
      <c r="AK27" s="29"/>
      <c r="AL27" s="29"/>
      <c r="AM27" s="29"/>
      <c r="AN27" s="1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1"/>
      <c r="AZ27" s="29"/>
      <c r="BA27" s="29"/>
      <c r="BB27" s="29"/>
      <c r="BC27" s="29"/>
      <c r="BD27" s="29"/>
      <c r="BE27" s="29"/>
      <c r="BF27" s="29"/>
      <c r="BG27" s="29"/>
      <c r="BH27" s="1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2"/>
    </row>
    <row r="28" spans="1:402" ht="15" customHeight="1" x14ac:dyDescent="0.25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3"/>
      <c r="AG28" s="11"/>
      <c r="AH28" s="29"/>
      <c r="AI28" s="29"/>
      <c r="AJ28" s="29"/>
      <c r="AK28" s="29"/>
      <c r="AL28" s="11"/>
      <c r="AM28" s="3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3"/>
      <c r="BA28" s="11"/>
      <c r="BB28" s="29"/>
      <c r="BC28" s="29"/>
      <c r="BD28" s="29"/>
      <c r="BE28" s="29"/>
      <c r="BF28" s="11"/>
      <c r="BG28" s="3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2"/>
    </row>
    <row r="29" spans="1:402" ht="15" customHeight="1" x14ac:dyDescent="0.25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3"/>
      <c r="AI29" s="3"/>
      <c r="AJ29" s="3"/>
      <c r="AK29" s="3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3"/>
      <c r="BC29" s="3"/>
      <c r="BD29" s="3"/>
      <c r="BE29" s="3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2"/>
    </row>
    <row r="30" spans="1:402" ht="15" customHeight="1" x14ac:dyDescent="0.25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2"/>
    </row>
    <row r="31" spans="1:402" ht="15" customHeight="1" x14ac:dyDescent="0.25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2"/>
    </row>
    <row r="32" spans="1:402" ht="15" customHeight="1" x14ac:dyDescent="0.25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2"/>
    </row>
    <row r="33" spans="1:402" ht="15" customHeight="1" x14ac:dyDescent="0.25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2"/>
    </row>
    <row r="34" spans="1:402" ht="15" customHeight="1" x14ac:dyDescent="0.25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3"/>
      <c r="AI34" s="3"/>
      <c r="AJ34" s="3"/>
      <c r="AK34" s="3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3"/>
      <c r="BC34" s="3"/>
      <c r="BD34" s="3"/>
      <c r="BE34" s="3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2"/>
    </row>
    <row r="35" spans="1:402" ht="15" customHeight="1" x14ac:dyDescent="0.25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3"/>
      <c r="AG35" s="11"/>
      <c r="AH35" s="29"/>
      <c r="AI35" s="29"/>
      <c r="AJ35" s="29"/>
      <c r="AK35" s="29"/>
      <c r="AL35" s="11"/>
      <c r="AM35" s="3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3"/>
      <c r="BA35" s="11"/>
      <c r="BB35" s="29"/>
      <c r="BC35" s="29"/>
      <c r="BD35" s="29"/>
      <c r="BE35" s="29"/>
      <c r="BF35" s="11"/>
      <c r="BG35" s="3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2"/>
    </row>
    <row r="36" spans="1:402" ht="15" customHeight="1" x14ac:dyDescent="0.25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1"/>
      <c r="AF36" s="29"/>
      <c r="AG36" s="29"/>
      <c r="AH36" s="29"/>
      <c r="AI36" s="29"/>
      <c r="AJ36" s="29"/>
      <c r="AK36" s="29"/>
      <c r="AL36" s="29"/>
      <c r="AM36" s="29"/>
      <c r="AN36" s="1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1"/>
      <c r="AZ36" s="29"/>
      <c r="BA36" s="29"/>
      <c r="BB36" s="29"/>
      <c r="BC36" s="29"/>
      <c r="BD36" s="29"/>
      <c r="BE36" s="29"/>
      <c r="BF36" s="29"/>
      <c r="BG36" s="29"/>
      <c r="BH36" s="1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2"/>
    </row>
    <row r="37" spans="1:402" ht="15" customHeight="1" x14ac:dyDescent="0.25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1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11"/>
      <c r="AP37" s="1"/>
      <c r="AQ37" s="1"/>
      <c r="AR37" s="1"/>
      <c r="AS37" s="1"/>
      <c r="AT37" s="1"/>
      <c r="AU37" s="1"/>
      <c r="AV37" s="1"/>
      <c r="AW37" s="1"/>
      <c r="AX37" s="11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1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2"/>
    </row>
    <row r="38" spans="1:402" ht="15" customHeight="1" x14ac:dyDescent="0.25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7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7"/>
      <c r="AQ38" s="1"/>
      <c r="AR38" s="1"/>
      <c r="AS38" s="1"/>
      <c r="AT38" s="1"/>
      <c r="AU38" s="1"/>
      <c r="AV38" s="1"/>
      <c r="AW38" s="7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7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2"/>
    </row>
    <row r="39" spans="1:402" ht="15" customHeight="1" x14ac:dyDescent="0.25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1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11"/>
      <c r="AQ39" s="1"/>
      <c r="AR39" s="1"/>
      <c r="AS39" s="1"/>
      <c r="AT39" s="1"/>
      <c r="AU39" s="1"/>
      <c r="AV39" s="1"/>
      <c r="AW39" s="11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1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2"/>
    </row>
    <row r="40" spans="1:402" ht="15" customHeight="1" x14ac:dyDescent="0.25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7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7"/>
      <c r="AR40" s="1"/>
      <c r="AS40" s="1"/>
      <c r="AT40" s="1"/>
      <c r="AU40" s="1"/>
      <c r="AV40" s="7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7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2"/>
    </row>
    <row r="41" spans="1:402" ht="15" customHeight="1" x14ac:dyDescent="0.25">
      <c r="A41" s="2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11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11"/>
      <c r="AR41" s="3"/>
      <c r="AS41" s="3"/>
      <c r="AT41" s="3"/>
      <c r="AU41" s="3"/>
      <c r="AV41" s="11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11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2"/>
    </row>
    <row r="42" spans="1:402" ht="15" customHeight="1" x14ac:dyDescent="0.25">
      <c r="A42" s="2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  <c r="EZ42" s="28"/>
      <c r="FA42" s="28"/>
      <c r="FB42" s="28"/>
      <c r="FC42" s="28"/>
      <c r="FD42" s="28"/>
      <c r="FE42" s="28"/>
      <c r="FF42" s="28"/>
      <c r="FG42" s="28"/>
      <c r="FH42" s="28"/>
      <c r="FI42" s="28"/>
      <c r="FJ42" s="28"/>
      <c r="FK42" s="28"/>
      <c r="FL42" s="28"/>
      <c r="FM42" s="28"/>
      <c r="FN42" s="28"/>
      <c r="FO42" s="28"/>
      <c r="FP42" s="28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  <c r="IB42" s="28"/>
      <c r="IC42" s="28"/>
      <c r="ID42" s="28"/>
      <c r="IE42" s="28"/>
      <c r="IF42" s="28"/>
      <c r="IG42" s="28"/>
      <c r="IH42" s="28"/>
      <c r="II42" s="28"/>
      <c r="IJ42" s="28"/>
      <c r="IK42" s="28"/>
      <c r="IL42" s="28"/>
      <c r="IM42" s="28"/>
      <c r="IN42" s="28"/>
      <c r="IO42" s="28"/>
      <c r="IP42" s="28"/>
      <c r="IQ42" s="28"/>
      <c r="IR42" s="28"/>
      <c r="IS42" s="28"/>
      <c r="IT42" s="28"/>
      <c r="IU42" s="28"/>
      <c r="IV42" s="28"/>
      <c r="IW42" s="28"/>
      <c r="IX42" s="28"/>
      <c r="IY42" s="28"/>
      <c r="IZ42" s="28"/>
      <c r="JA42" s="28"/>
      <c r="JB42" s="28"/>
      <c r="JC42" s="28"/>
      <c r="JD42" s="28"/>
      <c r="JE42" s="28"/>
      <c r="JF42" s="28"/>
      <c r="JG42" s="28"/>
      <c r="JH42" s="28"/>
      <c r="JI42" s="28"/>
      <c r="JJ42" s="28"/>
      <c r="JK42" s="28"/>
      <c r="JL42" s="28"/>
      <c r="JM42" s="28"/>
      <c r="JN42" s="28"/>
      <c r="JO42" s="28"/>
      <c r="JP42" s="28"/>
      <c r="JQ42" s="28"/>
      <c r="JR42" s="28"/>
      <c r="JS42" s="28"/>
      <c r="JT42" s="28"/>
      <c r="JU42" s="28"/>
      <c r="JV42" s="28"/>
      <c r="JW42" s="28"/>
      <c r="JX42" s="28"/>
      <c r="JY42" s="28"/>
      <c r="JZ42" s="28"/>
      <c r="KA42" s="28"/>
      <c r="KB42" s="28"/>
      <c r="KC42" s="28"/>
      <c r="KD42" s="28"/>
      <c r="KE42" s="28"/>
      <c r="KF42" s="28"/>
      <c r="KG42" s="28"/>
      <c r="KH42" s="28"/>
      <c r="KI42" s="28"/>
      <c r="KJ42" s="28"/>
      <c r="KK42" s="28"/>
      <c r="KL42" s="28"/>
      <c r="KM42" s="28"/>
      <c r="KN42" s="28"/>
      <c r="KO42" s="28"/>
      <c r="KP42" s="28"/>
      <c r="KQ42" s="28"/>
      <c r="KR42" s="28"/>
      <c r="KS42" s="28"/>
      <c r="KT42" s="28"/>
      <c r="KU42" s="28"/>
      <c r="KV42" s="28"/>
      <c r="KW42" s="28"/>
      <c r="KX42" s="28"/>
      <c r="KY42" s="28"/>
      <c r="KZ42" s="28"/>
      <c r="LA42" s="28"/>
      <c r="LB42" s="28"/>
      <c r="LC42" s="28"/>
      <c r="LD42" s="28"/>
      <c r="LE42" s="28"/>
      <c r="LF42" s="28"/>
      <c r="LG42" s="28"/>
      <c r="LH42" s="28"/>
      <c r="LI42" s="28"/>
      <c r="LJ42" s="28"/>
      <c r="LK42" s="28"/>
      <c r="LL42" s="28"/>
      <c r="LM42" s="28"/>
      <c r="LN42" s="28"/>
      <c r="LO42" s="28"/>
      <c r="LP42" s="28"/>
      <c r="LQ42" s="28"/>
      <c r="LR42" s="28"/>
      <c r="LS42" s="28"/>
      <c r="LT42" s="28"/>
      <c r="LU42" s="28"/>
      <c r="LV42" s="28"/>
      <c r="LW42" s="28"/>
      <c r="LX42" s="28"/>
      <c r="LY42" s="28"/>
      <c r="LZ42" s="28"/>
      <c r="MA42" s="28"/>
      <c r="MB42" s="28"/>
      <c r="MC42" s="28"/>
      <c r="MD42" s="28"/>
      <c r="ME42" s="28"/>
      <c r="MF42" s="28"/>
      <c r="MG42" s="28"/>
      <c r="MH42" s="28"/>
      <c r="MI42" s="28"/>
      <c r="MJ42" s="28"/>
      <c r="MK42" s="28"/>
      <c r="ML42" s="28"/>
      <c r="MM42" s="28"/>
      <c r="MN42" s="28"/>
      <c r="MO42" s="28"/>
      <c r="MP42" s="28"/>
      <c r="MQ42" s="28"/>
      <c r="MR42" s="28"/>
      <c r="MS42" s="28"/>
      <c r="MT42" s="28"/>
      <c r="MU42" s="28"/>
      <c r="MV42" s="28"/>
      <c r="MW42" s="28"/>
      <c r="MX42" s="28"/>
      <c r="MY42" s="28"/>
      <c r="MZ42" s="28"/>
      <c r="NA42" s="28"/>
      <c r="NB42" s="28"/>
      <c r="NC42" s="28"/>
      <c r="ND42" s="28"/>
      <c r="NE42" s="28"/>
      <c r="NF42" s="28"/>
      <c r="NG42" s="28"/>
      <c r="NH42" s="28"/>
      <c r="NI42" s="28"/>
      <c r="NJ42" s="28"/>
      <c r="NK42" s="28"/>
      <c r="NL42" s="28"/>
      <c r="NM42" s="28"/>
      <c r="NN42" s="28"/>
      <c r="NO42" s="28"/>
      <c r="NP42" s="28"/>
      <c r="NQ42" s="28"/>
      <c r="NR42" s="28"/>
      <c r="NS42" s="28"/>
      <c r="NT42" s="28"/>
      <c r="NU42" s="28"/>
      <c r="NV42" s="28"/>
      <c r="NW42" s="28"/>
      <c r="NX42" s="28"/>
      <c r="NY42" s="28"/>
      <c r="NZ42" s="28"/>
      <c r="OA42" s="28"/>
      <c r="OB42" s="28"/>
      <c r="OC42" s="28"/>
      <c r="OD42" s="28"/>
      <c r="OE42" s="28"/>
      <c r="OF42" s="28"/>
      <c r="OG42" s="28"/>
      <c r="OH42" s="28"/>
      <c r="OI42" s="28"/>
      <c r="OJ42" s="28"/>
      <c r="OK42" s="28"/>
      <c r="OL42" s="2"/>
    </row>
    <row r="43" spans="1:402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tabSelected="1" workbookViewId="0">
      <selection activeCell="O17" sqref="O17"/>
    </sheetView>
  </sheetViews>
  <sheetFormatPr defaultRowHeight="15" x14ac:dyDescent="0.25"/>
  <cols>
    <col min="1" max="1" width="8.85546875" customWidth="1"/>
    <col min="2" max="2" width="12.140625" customWidth="1"/>
    <col min="4" max="4" width="10.85546875" customWidth="1"/>
    <col min="10" max="10" width="18" customWidth="1"/>
    <col min="12" max="12" width="12.28515625" customWidth="1"/>
  </cols>
  <sheetData>
    <row r="1" spans="2:13" ht="19.5" thickBot="1" x14ac:dyDescent="0.35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5" customHeight="1" x14ac:dyDescent="0.25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x14ac:dyDescent="0.25">
      <c r="B3" t="s">
        <v>0</v>
      </c>
      <c r="C3" s="10">
        <v>2</v>
      </c>
      <c r="D3" s="21" t="s">
        <v>11</v>
      </c>
      <c r="E3" s="21"/>
      <c r="F3" s="21" t="s">
        <v>44</v>
      </c>
      <c r="G3" s="8">
        <v>273</v>
      </c>
      <c r="H3" s="21" t="s">
        <v>12</v>
      </c>
      <c r="J3" s="18"/>
      <c r="K3" t="s">
        <v>43</v>
      </c>
      <c r="M3">
        <v>3</v>
      </c>
    </row>
    <row r="4" spans="2:13" x14ac:dyDescent="0.25">
      <c r="B4" t="s">
        <v>1</v>
      </c>
      <c r="C4" s="10">
        <v>0.2</v>
      </c>
      <c r="D4" s="21" t="s">
        <v>11</v>
      </c>
      <c r="E4" s="21"/>
      <c r="F4" s="21" t="s">
        <v>45</v>
      </c>
      <c r="G4" s="8">
        <v>300</v>
      </c>
      <c r="H4" s="21" t="s">
        <v>12</v>
      </c>
      <c r="J4" s="13"/>
      <c r="K4" t="s">
        <v>46</v>
      </c>
      <c r="M4">
        <v>10</v>
      </c>
    </row>
    <row r="5" spans="2:13" x14ac:dyDescent="0.25">
      <c r="B5" s="14" t="s">
        <v>41</v>
      </c>
      <c r="C5" s="9">
        <f>C7/C6</f>
        <v>0.1</v>
      </c>
      <c r="D5" s="23"/>
      <c r="E5" s="21"/>
      <c r="F5" s="21" t="s">
        <v>29</v>
      </c>
      <c r="G5" s="8">
        <v>0.1</v>
      </c>
      <c r="H5" s="21" t="s">
        <v>13</v>
      </c>
      <c r="J5" s="3"/>
      <c r="K5" t="s">
        <v>22</v>
      </c>
      <c r="M5">
        <v>44</v>
      </c>
    </row>
    <row r="6" spans="2:13" x14ac:dyDescent="0.25">
      <c r="B6" t="s">
        <v>2</v>
      </c>
      <c r="C6" s="8">
        <f>C3/C4*C7</f>
        <v>400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x14ac:dyDescent="0.25">
      <c r="B7" t="s">
        <v>3</v>
      </c>
      <c r="C7" s="8">
        <v>40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x14ac:dyDescent="0.25">
      <c r="C8" s="24" t="b">
        <v>1</v>
      </c>
      <c r="D8" s="21"/>
      <c r="E8" s="21"/>
      <c r="F8" s="21"/>
      <c r="G8" s="21"/>
      <c r="H8" s="21"/>
    </row>
    <row r="9" spans="2:13" x14ac:dyDescent="0.25">
      <c r="C9" s="21"/>
      <c r="D9" s="21"/>
      <c r="E9" s="21"/>
      <c r="F9" s="21"/>
      <c r="G9" s="21"/>
      <c r="H9" s="21"/>
    </row>
    <row r="10" spans="2:13" x14ac:dyDescent="0.25">
      <c r="C10" s="21"/>
      <c r="D10" s="21"/>
      <c r="E10" s="21"/>
      <c r="F10" s="21"/>
      <c r="G10" s="21"/>
      <c r="H10" s="21"/>
    </row>
    <row r="11" spans="2:13" ht="19.5" thickBot="1" x14ac:dyDescent="0.35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x14ac:dyDescent="0.25">
      <c r="C12" s="21"/>
      <c r="D12" s="21"/>
      <c r="E12" s="21"/>
      <c r="F12" s="21"/>
      <c r="G12" s="21"/>
      <c r="H12" s="21"/>
    </row>
    <row r="13" spans="2:13" x14ac:dyDescent="0.25">
      <c r="B13" t="s">
        <v>9</v>
      </c>
      <c r="C13" s="8">
        <v>100</v>
      </c>
      <c r="D13" s="21"/>
      <c r="E13" s="21"/>
      <c r="F13" s="25" t="s">
        <v>7</v>
      </c>
      <c r="G13" s="31" t="s">
        <v>8</v>
      </c>
      <c r="H13" s="31"/>
      <c r="J13" t="s">
        <v>30</v>
      </c>
      <c r="K13" s="17" t="s">
        <v>31</v>
      </c>
      <c r="L13" s="16"/>
    </row>
    <row r="14" spans="2:13" x14ac:dyDescent="0.25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x14ac:dyDescent="0.25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25">
      <c r="B16" t="s">
        <v>16</v>
      </c>
      <c r="C16" s="8">
        <v>30</v>
      </c>
      <c r="D16" s="21"/>
      <c r="E16" s="21"/>
      <c r="F16" s="21" t="s">
        <v>5</v>
      </c>
      <c r="G16" s="8">
        <v>0.1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25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25">
      <c r="B18" t="s">
        <v>17</v>
      </c>
      <c r="C18" s="8">
        <v>1</v>
      </c>
      <c r="D18" s="21"/>
      <c r="E18" s="21"/>
      <c r="F18" s="21"/>
      <c r="G18" s="21"/>
      <c r="H18" s="21"/>
    </row>
    <row r="19" spans="2:12" x14ac:dyDescent="0.25">
      <c r="B19" t="s">
        <v>18</v>
      </c>
      <c r="C19" s="8">
        <v>1</v>
      </c>
      <c r="D19" s="21"/>
      <c r="E19" s="21"/>
      <c r="F19" s="23" t="s">
        <v>26</v>
      </c>
      <c r="G19" s="8">
        <v>0.01</v>
      </c>
      <c r="H19" s="23"/>
    </row>
    <row r="20" spans="2:12" x14ac:dyDescent="0.25">
      <c r="C20" s="21"/>
      <c r="D20" s="21"/>
      <c r="E20" s="21"/>
      <c r="F20" s="21"/>
      <c r="H20" s="21"/>
    </row>
    <row r="21" spans="2:12" x14ac:dyDescent="0.25">
      <c r="C21" s="21"/>
      <c r="D21" s="21"/>
      <c r="E21" s="21"/>
      <c r="F21" s="21"/>
      <c r="G21" s="21"/>
      <c r="H21" s="21"/>
      <c r="K21" s="30"/>
    </row>
    <row r="22" spans="2:12" ht="19.5" thickBot="1" x14ac:dyDescent="0.35">
      <c r="B22" s="4" t="s">
        <v>47</v>
      </c>
      <c r="C22" s="19"/>
      <c r="D22" s="20"/>
      <c r="E22" s="20"/>
      <c r="F22" s="20"/>
      <c r="G22" s="20"/>
      <c r="H22" s="20"/>
    </row>
    <row r="23" spans="2:12" x14ac:dyDescent="0.25">
      <c r="C23" s="21"/>
      <c r="D23" s="21"/>
      <c r="E23" s="21"/>
      <c r="F23" s="21" t="s">
        <v>48</v>
      </c>
      <c r="G23" s="21"/>
      <c r="H23" s="21" t="s">
        <v>50</v>
      </c>
    </row>
    <row r="24" spans="2:12" x14ac:dyDescent="0.25">
      <c r="B24" t="s">
        <v>49</v>
      </c>
      <c r="C24" s="8" t="s">
        <v>55</v>
      </c>
      <c r="E24" t="s">
        <v>53</v>
      </c>
      <c r="F24" s="9">
        <f>0.25*C$27</f>
        <v>0.5</v>
      </c>
      <c r="H24" s="9">
        <f>F24+IF(C24="Square",C31,SQRT(C31^2 - (C31/2)^2))</f>
        <v>0.6</v>
      </c>
    </row>
    <row r="25" spans="2:12" x14ac:dyDescent="0.25">
      <c r="B25" t="s">
        <v>51</v>
      </c>
      <c r="C25" s="8">
        <v>1.5</v>
      </c>
      <c r="D25" t="s">
        <v>56</v>
      </c>
      <c r="E25" t="s">
        <v>54</v>
      </c>
      <c r="F25" s="9">
        <v>0</v>
      </c>
      <c r="G25" s="23"/>
      <c r="H25" s="9">
        <f>IF(C24="Square",F25,C31/2)</f>
        <v>0</v>
      </c>
    </row>
    <row r="26" spans="2:12" x14ac:dyDescent="0.25">
      <c r="F26" s="26"/>
      <c r="G26" s="26"/>
      <c r="H26" s="26"/>
    </row>
    <row r="27" spans="2:12" x14ac:dyDescent="0.25">
      <c r="B27" t="s">
        <v>0</v>
      </c>
      <c r="C27" s="27">
        <f>C3</f>
        <v>2</v>
      </c>
      <c r="D27" t="s">
        <v>11</v>
      </c>
      <c r="E27" t="s">
        <v>53</v>
      </c>
      <c r="F27" s="9">
        <f>0.25*C$27</f>
        <v>0.5</v>
      </c>
      <c r="H27" s="9">
        <f>H24</f>
        <v>0.6</v>
      </c>
    </row>
    <row r="28" spans="2:12" x14ac:dyDescent="0.25">
      <c r="B28" t="s">
        <v>1</v>
      </c>
      <c r="C28" s="27">
        <f>C4</f>
        <v>0.2</v>
      </c>
      <c r="D28" t="s">
        <v>11</v>
      </c>
      <c r="E28" t="s">
        <v>54</v>
      </c>
      <c r="F28" s="9">
        <f>C31</f>
        <v>0.1</v>
      </c>
      <c r="H28" s="9">
        <f>H25+C31</f>
        <v>0.1</v>
      </c>
    </row>
    <row r="30" spans="2:12" x14ac:dyDescent="0.25">
      <c r="B30" t="s">
        <v>52</v>
      </c>
      <c r="C30" s="9">
        <f>C31/C25</f>
        <v>6.6666666666666666E-2</v>
      </c>
      <c r="D30" t="s">
        <v>11</v>
      </c>
      <c r="E30" t="s">
        <v>53</v>
      </c>
      <c r="F30" s="9">
        <f>0.25*C$27</f>
        <v>0.5</v>
      </c>
      <c r="H30" s="9">
        <f>IF(C24="Square",F30+C$31,"None")</f>
        <v>0.6</v>
      </c>
    </row>
    <row r="31" spans="2:12" x14ac:dyDescent="0.25">
      <c r="B31" t="s">
        <v>51</v>
      </c>
      <c r="C31" s="9">
        <f>C28/2</f>
        <v>0.1</v>
      </c>
      <c r="D31" t="s">
        <v>11</v>
      </c>
      <c r="E31" t="s">
        <v>54</v>
      </c>
      <c r="F31" s="9">
        <f>C28</f>
        <v>0.2</v>
      </c>
      <c r="H31" s="9">
        <f>IF(C24="Square",F31,"None")</f>
        <v>0.2</v>
      </c>
    </row>
    <row r="33" spans="2:4" x14ac:dyDescent="0.25">
      <c r="B33" t="s">
        <v>57</v>
      </c>
      <c r="C33" s="8">
        <f>C3/C6</f>
        <v>5.0000000000000001E-3</v>
      </c>
      <c r="D33" t="s">
        <v>59</v>
      </c>
    </row>
    <row r="34" spans="2:4" x14ac:dyDescent="0.25">
      <c r="B34" t="s">
        <v>58</v>
      </c>
      <c r="C34" s="8">
        <f>C4/C7</f>
        <v>5.0000000000000001E-3</v>
      </c>
      <c r="D34" t="s">
        <v>59</v>
      </c>
    </row>
  </sheetData>
  <mergeCells count="1">
    <mergeCell ref="G13:H13"/>
  </mergeCells>
  <dataValidations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428625</xdr:colOff>
                    <xdr:row>7</xdr:row>
                    <xdr:rowOff>0</xdr:rowOff>
                  </from>
                  <to>
                    <xdr:col>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19050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171450</xdr:colOff>
                    <xdr:row>21</xdr:row>
                    <xdr:rowOff>0</xdr:rowOff>
                  </from>
                  <to>
                    <xdr:col>7</xdr:col>
                    <xdr:colOff>133350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G19" sqref="G19"/>
    </sheetView>
  </sheetViews>
  <sheetFormatPr defaultRowHeight="15" x14ac:dyDescent="0.25"/>
  <cols>
    <col min="1" max="1" width="17.7109375" customWidth="1"/>
  </cols>
  <sheetData>
    <row r="1" spans="1:3" ht="19.5" thickBot="1" x14ac:dyDescent="0.35">
      <c r="A1" s="4" t="s">
        <v>27</v>
      </c>
      <c r="B1" s="5"/>
      <c r="C1" s="5"/>
    </row>
    <row r="3" spans="1:3" x14ac:dyDescent="0.25">
      <c r="A3" t="s">
        <v>30</v>
      </c>
      <c r="B3" t="s">
        <v>31</v>
      </c>
      <c r="C3" t="s">
        <v>32</v>
      </c>
    </row>
    <row r="4" spans="1:3" x14ac:dyDescent="0.25">
      <c r="A4" t="s">
        <v>33</v>
      </c>
      <c r="B4">
        <v>1</v>
      </c>
      <c r="C4">
        <v>1000</v>
      </c>
    </row>
    <row r="5" spans="1:3" x14ac:dyDescent="0.25">
      <c r="A5" t="s">
        <v>34</v>
      </c>
      <c r="B5" s="15">
        <v>2.0000000000000002E-5</v>
      </c>
      <c r="C5" s="15">
        <v>1E-3</v>
      </c>
    </row>
    <row r="6" spans="1:3" x14ac:dyDescent="0.25">
      <c r="A6" t="s">
        <v>37</v>
      </c>
      <c r="B6">
        <v>1013</v>
      </c>
      <c r="C6">
        <v>4200</v>
      </c>
    </row>
    <row r="7" spans="1:3" x14ac:dyDescent="0.25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Student</cp:lastModifiedBy>
  <dcterms:created xsi:type="dcterms:W3CDTF">2018-03-27T12:06:22Z</dcterms:created>
  <dcterms:modified xsi:type="dcterms:W3CDTF">2018-04-13T13:45:12Z</dcterms:modified>
</cp:coreProperties>
</file>