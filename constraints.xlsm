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60" windowWidth="11928" windowHeight="10068" activeTab="1"/>
  </bookViews>
  <sheets>
    <sheet name="Constraints" sheetId="1" r:id="rId1"/>
    <sheet name="Grid settings" sheetId="2" r:id="rId2"/>
    <sheet name="Fluid properties" sheetId="3" r:id="rId3"/>
    <sheet name="Analytical Calc" sheetId="4" r:id="rId4"/>
  </sheets>
  <definedNames>
    <definedName name="A_1">'Analytical Calc'!$D$21</definedName>
    <definedName name="A_flow">'Analytical Calc'!$D$25</definedName>
    <definedName name="Atot">'Analytical Calc'!$D$23</definedName>
    <definedName name="Do">'Grid settings'!$C$30</definedName>
    <definedName name="effectiveness">'Analytical Calc'!$D$29</definedName>
    <definedName name="factor">'Analytical Calc'!$D$7</definedName>
    <definedName name="friction">'Analytical Calc'!$D$38</definedName>
    <definedName name="hc">'Analytical Calc'!$D$20</definedName>
    <definedName name="m_flow">'Analytical Calc'!$D$27</definedName>
    <definedName name="N_rows">'Analytical Calc'!$D$11</definedName>
    <definedName name="N_tubes">'Analytical Calc'!$D$22</definedName>
    <definedName name="Ntu">'Analytical Calc'!$D$28</definedName>
    <definedName name="Nu_D">'Analytical Calc'!$D$19</definedName>
    <definedName name="Nu_D1">'Analytical Calc'!$D$18</definedName>
    <definedName name="P_L">'Analytical Calc'!$D$4</definedName>
    <definedName name="P_T">'Analytical Calc'!$D$3</definedName>
    <definedName name="phi">'Analytical Calc'!$D$10</definedName>
    <definedName name="phi_in">'Analytical Calc'!$D$8</definedName>
    <definedName name="phi_st">'Analytical Calc'!$D$9</definedName>
    <definedName name="Pitch">'Grid settings'!$C$31</definedName>
    <definedName name="Pr">'Analytical Calc'!$D$14</definedName>
    <definedName name="ReD">'Analytical Calc'!$D$13</definedName>
    <definedName name="T_obj">'Grid settings'!$G$4</definedName>
    <definedName name="T0">'Grid settings'!$G$3</definedName>
    <definedName name="Tout">'Analytical Calc'!$D$30</definedName>
    <definedName name="U_av">'Analytical Calc'!$D$12</definedName>
    <definedName name="U_in">'Grid settings'!$G$5</definedName>
    <definedName name="U_max">'Analytical Calc'!$D$36</definedName>
    <definedName name="V_flow">'Analytical Calc'!$D$26</definedName>
    <definedName name="X">'Analytical Calc'!$D$37</definedName>
    <definedName name="YMAX">'Grid settings'!$C$4</definedName>
  </definedNames>
  <calcPr calcId="171027"/>
</workbook>
</file>

<file path=xl/calcChain.xml><?xml version="1.0" encoding="utf-8"?>
<calcChain xmlns="http://schemas.openxmlformats.org/spreadsheetml/2006/main">
  <c r="B4" i="3" l="1"/>
  <c r="D25" i="4"/>
  <c r="D26" i="4" s="1"/>
  <c r="D27" i="4" s="1"/>
  <c r="D14" i="4"/>
  <c r="K25" i="2" l="1"/>
  <c r="C34" i="2" l="1"/>
  <c r="C33" i="2"/>
  <c r="C28" i="2"/>
  <c r="C31" i="2" s="1"/>
  <c r="C27" i="2"/>
  <c r="F28" i="2" l="1"/>
  <c r="F30" i="2"/>
  <c r="F24" i="2"/>
  <c r="H24" i="2" s="1"/>
  <c r="F27" i="2"/>
  <c r="F31" i="2"/>
  <c r="H31" i="2" s="1"/>
  <c r="H25" i="2"/>
  <c r="C5" i="2" l="1"/>
  <c r="K17" i="2" l="1"/>
  <c r="K16" i="2"/>
  <c r="K15" i="2"/>
  <c r="K14" i="2"/>
  <c r="H30" i="2"/>
  <c r="H28" i="2"/>
  <c r="C30" i="2"/>
  <c r="D21" i="4" l="1"/>
  <c r="D23" i="4" s="1"/>
  <c r="D12" i="4"/>
  <c r="D3" i="4"/>
  <c r="D4" i="4"/>
  <c r="D9" i="4" s="1"/>
  <c r="D10" i="4" s="1"/>
  <c r="G35" i="4"/>
  <c r="D34" i="4"/>
  <c r="F35" i="4"/>
  <c r="D35" i="4" s="1"/>
  <c r="D36" i="4" s="1"/>
  <c r="H27" i="2"/>
  <c r="D39" i="4" l="1"/>
  <c r="D6" i="4"/>
  <c r="D5" i="4"/>
  <c r="D7" i="4" s="1"/>
  <c r="D8" i="4" s="1"/>
  <c r="K24" i="2"/>
  <c r="D13" i="4"/>
  <c r="D15" i="4" s="1"/>
  <c r="D18" i="4" s="1"/>
  <c r="D19" i="4" s="1"/>
  <c r="D20" i="4" s="1"/>
  <c r="D28" i="4" s="1"/>
  <c r="D29" i="4" s="1"/>
  <c r="D30" i="4" s="1"/>
  <c r="D31" i="4" s="1"/>
</calcChain>
</file>

<file path=xl/sharedStrings.xml><?xml version="1.0" encoding="utf-8"?>
<sst xmlns="http://schemas.openxmlformats.org/spreadsheetml/2006/main" count="179" uniqueCount="122">
  <si>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</si>
  <si>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</si>
  <si>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</si>
  <si>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</si>
  <si>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</si>
  <si>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</si>
  <si>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</si>
  <si>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</si>
  <si>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</si>
  <si>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</si>
  <si>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</si>
  <si>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</si>
  <si>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</si>
  <si>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</si>
  <si>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</si>
  <si>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</si>
  <si>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</si>
  <si>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</si>
  <si>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</si>
  <si>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</si>
  <si>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</si>
  <si>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</si>
  <si>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</si>
  <si>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</si>
  <si>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</si>
  <si>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</si>
  <si>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</si>
  <si>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</si>
  <si>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</si>
  <si>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</si>
  <si>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</si>
  <si>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</si>
  <si>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</si>
  <si>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</si>
  <si>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</si>
  <si>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</si>
  <si>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</si>
  <si>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</si>
  <si>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</si>
  <si>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</si>
  <si>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</si>
  <si>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</si>
  <si>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</si>
  <si>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</si>
  <si>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</si>
  <si>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</si>
  <si>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</si>
  <si>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</si>
  <si>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</si>
  <si>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</si>
  <si>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</si>
  <si>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</si>
  <si>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</si>
  <si>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</si>
  <si>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</si>
  <si>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</si>
  <si>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</si>
  <si>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</si>
  <si>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</si>
  <si>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</si>
  <si>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</si>
  <si>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</si>
  <si>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Quarant kental</t>
  </si>
  <si>
    <t>Triangular</t>
  </si>
  <si>
    <t>Re</t>
  </si>
  <si>
    <t>phi_in</t>
  </si>
  <si>
    <t>phi_st</t>
  </si>
  <si>
    <t>N_rows</t>
  </si>
  <si>
    <t>(4,118)</t>
  </si>
  <si>
    <t>Nu_D</t>
  </si>
  <si>
    <t>factor</t>
  </si>
  <si>
    <t>P_T</t>
  </si>
  <si>
    <t>P_L</t>
  </si>
  <si>
    <t>4,115a</t>
  </si>
  <si>
    <t>4,115b</t>
  </si>
  <si>
    <t>phi</t>
  </si>
  <si>
    <t>Nu_D1</t>
  </si>
  <si>
    <t>4,71a</t>
  </si>
  <si>
    <t>4,71b</t>
  </si>
  <si>
    <t>4,71c</t>
  </si>
  <si>
    <t>Re&lt;10000</t>
  </si>
  <si>
    <t>ReD</t>
  </si>
  <si>
    <t>Pr</t>
  </si>
  <si>
    <t>U_max</t>
  </si>
  <si>
    <t>4,120a</t>
  </si>
  <si>
    <t>4,120b</t>
  </si>
  <si>
    <t>check if Re&lt;10000!!</t>
  </si>
  <si>
    <t>hc</t>
  </si>
  <si>
    <t>W/(m2K)</t>
  </si>
  <si>
    <t>Atot</t>
  </si>
  <si>
    <t>A_1</t>
  </si>
  <si>
    <t>N_tubes</t>
  </si>
  <si>
    <t>m2</t>
  </si>
  <si>
    <t>p.351</t>
  </si>
  <si>
    <t>Ntu</t>
  </si>
  <si>
    <t>p. 352</t>
  </si>
  <si>
    <t>V_flow</t>
  </si>
  <si>
    <t>m_flow</t>
  </si>
  <si>
    <t>A_flow</t>
  </si>
  <si>
    <t>m3/s</t>
  </si>
  <si>
    <t>kg/s</t>
  </si>
  <si>
    <t>(1,59)</t>
  </si>
  <si>
    <t>effectiveness</t>
  </si>
  <si>
    <t>Tout</t>
  </si>
  <si>
    <t>q</t>
  </si>
  <si>
    <t>(1m diep)</t>
  </si>
  <si>
    <t>[kg/s] * [J/(kg*K)]*[K] = [J/s] = [W]</t>
  </si>
  <si>
    <t>-</t>
  </si>
  <si>
    <t>m/s</t>
  </si>
  <si>
    <t>K</t>
  </si>
  <si>
    <t xml:space="preserve">W </t>
  </si>
  <si>
    <t>U_av</t>
  </si>
  <si>
    <t>dP</t>
  </si>
  <si>
    <t>Calculate pressure drop</t>
  </si>
  <si>
    <t>X</t>
  </si>
  <si>
    <t>Calculate Tout and Heat Flux</t>
  </si>
  <si>
    <t>friction</t>
  </si>
  <si>
    <t>Aflezen p. 350!</t>
  </si>
  <si>
    <t>(4,119)</t>
  </si>
  <si>
    <t xml:space="preserve">- </t>
  </si>
  <si>
    <t>for aligned and staggered X=1</t>
  </si>
  <si>
    <t>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</si>
</sst>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52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2" borderId="1" xfId="0" applyFill="1" applyBorder="1"/>
    <xf numFmtId="0" fontId="7" fillId="0" borderId="0" xfId="0" applyFont="1"/>
    <xf numFmtId="164" fontId="2" fillId="6" borderId="3" xfId="1" applyNumberFormat="1"/>
    <xf numFmtId="0" fontId="0" fillId="11" borderId="1" xfId="0" applyFill="1" applyBorder="1"/>
    <xf numFmtId="2" fontId="0" fillId="11" borderId="1" xfId="0" applyNumberFormat="1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0" fillId="13" borderId="0" xfId="0" applyFill="1" applyAlignment="1">
      <alignment horizontal="right"/>
    </xf>
    <xf numFmtId="0" fontId="0" fillId="13" borderId="0" xfId="0" applyFill="1"/>
    <xf numFmtId="0" fontId="0" fillId="0" borderId="0" xfId="0" quotePrefix="1" applyAlignment="1">
      <alignment horizontal="center"/>
    </xf>
    <xf numFmtId="0" fontId="0" fillId="10" borderId="0" xfId="0" applyFill="1"/>
    <xf numFmtId="0" fontId="0" fillId="0" borderId="0" xfId="0" applyNumberFormat="1"/>
    <xf numFmtId="165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11" borderId="0" xfId="0" applyFill="1" applyAlignment="1">
      <alignment horizontal="right"/>
    </xf>
    <xf numFmtId="165" fontId="0" fillId="13" borderId="0" xfId="0" applyNumberFormat="1" applyFill="1"/>
    <xf numFmtId="1" fontId="0" fillId="0" borderId="0" xfId="0" quotePrefix="1" applyNumberFormat="1"/>
    <xf numFmtId="0" fontId="8" fillId="0" borderId="0" xfId="0" applyFont="1"/>
    <xf numFmtId="0" fontId="9" fillId="0" borderId="0" xfId="0" applyFont="1"/>
    <xf numFmtId="0" fontId="0" fillId="14" borderId="1" xfId="0" applyFill="1" applyBorder="1"/>
    <xf numFmtId="0" fontId="10" fillId="0" borderId="0" xfId="0" applyFont="1" applyAlignment="1">
      <alignment horizontal="left"/>
    </xf>
    <xf numFmtId="0" fontId="2" fillId="6" borderId="3" xfId="1" applyAlignment="1">
      <alignment horizontal="center"/>
    </xf>
  </cellXfs>
  <cellStyles count="3">
    <cellStyle name="Berekening" xfId="2" builtinId="22"/>
    <cellStyle name="Invoer" xfId="1" builtinId="20"/>
    <cellStyle name="Standaard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4</xdr:col>
          <xdr:colOff>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0</xdr:rowOff>
        </xdr:from>
        <xdr:to>
          <xdr:col>7</xdr:col>
          <xdr:colOff>137160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22</xdr:row>
          <xdr:rowOff>0</xdr:rowOff>
        </xdr:from>
        <xdr:to>
          <xdr:col>9</xdr:col>
          <xdr:colOff>960120</xdr:colOff>
          <xdr:row>23</xdr:row>
          <xdr:rowOff>22860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FO32"/>
  <sheetViews>
    <sheetView zoomScale="70" zoomScaleNormal="70" workbookViewId="0">
      <selection activeCell="AD24" sqref="AD24:AE25"/>
    </sheetView>
  </sheetViews>
  <sheetFormatPr defaultRowHeight="14.4" x14ac:dyDescent="0.3"/>
  <cols>
    <col min="1" max="122" width="2.44140625" customWidth="1"/>
  </cols>
  <sheetData>
    <row r="1" spans="1:171" ht="4.95" customHeight="1" x14ac:dyDescent="0.3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2"/>
    </row>
    <row r="2" spans="1:171" ht="4.95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28"/>
      <c r="Y2" s="28"/>
      <c r="Z2" s="28"/>
      <c r="AA2" s="28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 t="s">
        <v>47</v>
      </c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 t="s">
        <v>47</v>
      </c>
      <c r="DQ2" s="1"/>
      <c r="DR2" s="2"/>
      <c r="FO2" t="s">
        <v>47</v>
      </c>
    </row>
    <row r="3" spans="1:171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28"/>
      <c r="Y3" s="28"/>
      <c r="Z3" s="28"/>
      <c r="AA3" s="28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2"/>
    </row>
    <row r="4" spans="1:171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28"/>
      <c r="Y4" s="28"/>
      <c r="Z4" s="28"/>
      <c r="AA4" s="28"/>
      <c r="AB4" s="1"/>
      <c r="AC4" s="1"/>
      <c r="AD4" s="28"/>
      <c r="AE4" s="28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2"/>
    </row>
    <row r="5" spans="1:171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28"/>
      <c r="Z5" s="28"/>
      <c r="AA5" s="1"/>
      <c r="AB5" s="1"/>
      <c r="AC5" s="1"/>
      <c r="AD5" s="28"/>
      <c r="AE5" s="28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2"/>
    </row>
    <row r="6" spans="1:171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28"/>
      <c r="Z6" s="28"/>
      <c r="AA6" s="1"/>
      <c r="AB6" s="1"/>
      <c r="AC6" s="28"/>
      <c r="AD6" s="28"/>
      <c r="AE6" s="28"/>
      <c r="AF6" s="28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2"/>
    </row>
    <row r="7" spans="1:171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28"/>
      <c r="AD7" s="28"/>
      <c r="AE7" s="28"/>
      <c r="AF7" s="28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2"/>
    </row>
    <row r="8" spans="1:171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28"/>
      <c r="AD8" s="28"/>
      <c r="AE8" s="28"/>
      <c r="AF8" s="28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2"/>
    </row>
    <row r="9" spans="1:171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28"/>
      <c r="AD9" s="28"/>
      <c r="AE9" s="28"/>
      <c r="AF9" s="28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2"/>
    </row>
    <row r="10" spans="1:171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28"/>
      <c r="AD10" s="28"/>
      <c r="AE10" s="28"/>
      <c r="AF10" s="28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2"/>
    </row>
    <row r="11" spans="1:171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28"/>
      <c r="AD11" s="28"/>
      <c r="AE11" s="28"/>
      <c r="AF11" s="28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2"/>
    </row>
    <row r="12" spans="1:171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28"/>
      <c r="Z12" s="28"/>
      <c r="AA12" s="1"/>
      <c r="AB12" s="1"/>
      <c r="AC12" s="1"/>
      <c r="AD12" s="28"/>
      <c r="AE12" s="28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2"/>
    </row>
    <row r="13" spans="1:171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28"/>
      <c r="Z13" s="28"/>
      <c r="AA13" s="1"/>
      <c r="AB13" s="1"/>
      <c r="AC13" s="1"/>
      <c r="AD13" s="28"/>
      <c r="AE13" s="28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2"/>
    </row>
    <row r="14" spans="1:171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28"/>
      <c r="Y14" s="28"/>
      <c r="Z14" s="28"/>
      <c r="AA14" s="28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2"/>
    </row>
    <row r="15" spans="1:171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28"/>
      <c r="Y15" s="28"/>
      <c r="Z15" s="28"/>
      <c r="AA15" s="28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2"/>
    </row>
    <row r="16" spans="1:171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28"/>
      <c r="Y16" s="28"/>
      <c r="Z16" s="28"/>
      <c r="AA16" s="28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2"/>
    </row>
    <row r="17" spans="1:12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28"/>
      <c r="Y17" s="28"/>
      <c r="Z17" s="28"/>
      <c r="AA17" s="28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2"/>
    </row>
    <row r="18" spans="1:12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28"/>
      <c r="Y18" s="28"/>
      <c r="Z18" s="28"/>
      <c r="AA18" s="28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2"/>
    </row>
    <row r="19" spans="1:12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28"/>
      <c r="Y19" s="28"/>
      <c r="Z19" s="28"/>
      <c r="AA19" s="28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2"/>
    </row>
    <row r="20" spans="1:12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28"/>
      <c r="Z20" s="28"/>
      <c r="AA20" s="1"/>
      <c r="AB20" s="1"/>
      <c r="AC20" s="1"/>
      <c r="AD20" s="28"/>
      <c r="AE20" s="28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2"/>
    </row>
    <row r="21" spans="1:12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28"/>
      <c r="Z21" s="28"/>
      <c r="AA21" s="1"/>
      <c r="AB21" s="1"/>
      <c r="AC21" s="1"/>
      <c r="AD21" s="28"/>
      <c r="AE21" s="28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2"/>
    </row>
    <row r="22" spans="1:12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28"/>
      <c r="AD22" s="28"/>
      <c r="AE22" s="28"/>
      <c r="AF22" s="28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2"/>
    </row>
    <row r="23" spans="1:12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28"/>
      <c r="AD23" s="28"/>
      <c r="AE23" s="28"/>
      <c r="AF23" s="28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2"/>
    </row>
    <row r="24" spans="1:12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28"/>
      <c r="AD24" s="28"/>
      <c r="AE24" s="28"/>
      <c r="AF24" s="28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2"/>
    </row>
    <row r="25" spans="1:12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28"/>
      <c r="AD25" s="28"/>
      <c r="AE25" s="28"/>
      <c r="AF25" s="28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2"/>
    </row>
    <row r="26" spans="1:12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28"/>
      <c r="AD26" s="28"/>
      <c r="AE26" s="28"/>
      <c r="AF26" s="28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2"/>
    </row>
    <row r="27" spans="1:12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28"/>
      <c r="Z27" s="28"/>
      <c r="AA27" s="1"/>
      <c r="AB27" s="1"/>
      <c r="AC27" s="28"/>
      <c r="AD27" s="28"/>
      <c r="AE27" s="28"/>
      <c r="AF27" s="28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2"/>
    </row>
    <row r="28" spans="1:12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28"/>
      <c r="Z28" s="28"/>
      <c r="AA28" s="1"/>
      <c r="AB28" s="1"/>
      <c r="AC28" s="1"/>
      <c r="AD28" s="28"/>
      <c r="AE28" s="28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2"/>
    </row>
    <row r="29" spans="1:12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28"/>
      <c r="Y29" s="28"/>
      <c r="Z29" s="28"/>
      <c r="AA29" s="28"/>
      <c r="AB29" s="1"/>
      <c r="AC29" s="1"/>
      <c r="AD29" s="28"/>
      <c r="AE29" s="28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2"/>
    </row>
    <row r="30" spans="1:12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28"/>
      <c r="Y30" s="28"/>
      <c r="Z30" s="28"/>
      <c r="AA30" s="28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2"/>
    </row>
    <row r="31" spans="1:12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28"/>
      <c r="Y31" s="28"/>
      <c r="Z31" s="28"/>
      <c r="AA31" s="28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2"/>
    </row>
    <row r="32" spans="1:122" ht="4.95" customHeight="1" x14ac:dyDescent="0.3">
      <c r="A32" s="2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C8" sqref="C8"/>
    </sheetView>
  </sheetViews>
  <sheetFormatPr defaultRowHeight="14.4" x14ac:dyDescent="0.3"/>
  <cols>
    <col min="1" max="1" width="8.88671875" customWidth="1"/>
    <col min="2" max="2" width="12.109375" customWidth="1"/>
    <col min="4" max="4" width="10.88671875" customWidth="1"/>
    <col min="10" max="10" width="18" customWidth="1"/>
    <col min="11" max="11" width="9.5546875" bestFit="1" customWidth="1"/>
    <col min="12" max="12" width="12.332031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3">
      <c r="B3" t="s">
        <v>0</v>
      </c>
      <c r="C3" s="10">
        <v>0.45</v>
      </c>
      <c r="D3" s="21" t="s">
        <v>11</v>
      </c>
      <c r="E3" s="21"/>
      <c r="F3" s="21" t="s">
        <v>44</v>
      </c>
      <c r="G3" s="8">
        <v>293</v>
      </c>
      <c r="H3" s="21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30">
        <v>4.4999999999999998E-2</v>
      </c>
      <c r="D4" s="21" t="s">
        <v>11</v>
      </c>
      <c r="E4" s="21"/>
      <c r="F4" s="21" t="s">
        <v>45</v>
      </c>
      <c r="G4" s="8">
        <v>333</v>
      </c>
      <c r="H4" s="21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0.25</v>
      </c>
      <c r="D5" s="23"/>
      <c r="E5" s="21"/>
      <c r="F5" s="21" t="s">
        <v>29</v>
      </c>
      <c r="G5" s="8">
        <v>2</v>
      </c>
      <c r="H5" s="21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120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3">
      <c r="B7" t="s">
        <v>3</v>
      </c>
      <c r="C7" s="8">
        <v>30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3">
      <c r="C8" s="24" t="b">
        <v>0</v>
      </c>
      <c r="D8" s="21"/>
      <c r="E8" s="21"/>
      <c r="F8" s="21"/>
      <c r="G8" s="21"/>
      <c r="H8" s="21"/>
    </row>
    <row r="9" spans="2:13" x14ac:dyDescent="0.3">
      <c r="C9" s="21"/>
      <c r="D9" s="21"/>
      <c r="E9" s="21"/>
      <c r="F9" s="21"/>
      <c r="G9" s="21"/>
      <c r="H9" s="21"/>
    </row>
    <row r="10" spans="2:13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3">
      <c r="C12" s="21"/>
      <c r="D12" s="21"/>
      <c r="E12" s="21"/>
      <c r="F12" s="21"/>
      <c r="G12" s="21"/>
      <c r="H12" s="21"/>
    </row>
    <row r="13" spans="2:13" x14ac:dyDescent="0.3">
      <c r="B13" t="s">
        <v>9</v>
      </c>
      <c r="C13" s="8">
        <v>100</v>
      </c>
      <c r="D13" s="21"/>
      <c r="E13" s="21"/>
      <c r="F13" s="25" t="s">
        <v>7</v>
      </c>
      <c r="G13" s="51" t="s">
        <v>8</v>
      </c>
      <c r="H13" s="51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1.042</v>
      </c>
      <c r="L14" t="s">
        <v>38</v>
      </c>
    </row>
    <row r="15" spans="2:13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1"/>
      <c r="E16" s="21"/>
      <c r="F16" s="21" t="s">
        <v>5</v>
      </c>
      <c r="G16" s="8">
        <v>0.3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3">
      <c r="B19" t="s">
        <v>18</v>
      </c>
      <c r="C19" s="8">
        <v>1</v>
      </c>
      <c r="D19" s="21"/>
      <c r="E19" s="21"/>
      <c r="F19" s="23" t="s">
        <v>26</v>
      </c>
      <c r="G19" s="8">
        <v>5.0000000000000001E-4</v>
      </c>
      <c r="H19" s="23"/>
    </row>
    <row r="20" spans="2:12" x14ac:dyDescent="0.3">
      <c r="C20" s="21"/>
      <c r="D20" s="21"/>
      <c r="E20" s="21"/>
      <c r="F20" s="23" t="s">
        <v>60</v>
      </c>
      <c r="G20" s="8">
        <v>0.1</v>
      </c>
      <c r="H20" s="21"/>
    </row>
    <row r="21" spans="2:12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x14ac:dyDescent="0.3">
      <c r="C23" s="21"/>
      <c r="D23" s="21"/>
      <c r="E23" s="21"/>
      <c r="F23" s="21" t="s">
        <v>49</v>
      </c>
      <c r="G23" s="21"/>
      <c r="H23" s="21" t="s">
        <v>51</v>
      </c>
      <c r="K23" s="31" t="b">
        <v>0</v>
      </c>
    </row>
    <row r="24" spans="2:12" x14ac:dyDescent="0.3">
      <c r="B24" t="s">
        <v>50</v>
      </c>
      <c r="C24" s="8" t="s">
        <v>63</v>
      </c>
      <c r="E24" t="s">
        <v>54</v>
      </c>
      <c r="F24" s="9">
        <f>0.2*C$27</f>
        <v>9.0000000000000011E-2</v>
      </c>
      <c r="H24" s="9">
        <f>F24+IF(C24="Square",C31,SQRT(C31^2 - (C31/2)^2))</f>
        <v>0.10948557158514988</v>
      </c>
      <c r="J24" t="s">
        <v>64</v>
      </c>
      <c r="K24" s="32">
        <f>'Fluid properties'!B4*U_av*Do/'Fluid properties'!B5</f>
        <v>3280.8479910246397</v>
      </c>
      <c r="L24" s="16"/>
    </row>
    <row r="25" spans="2:12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1.125E-2</v>
      </c>
      <c r="J25" t="s">
        <v>62</v>
      </c>
      <c r="K25" s="32">
        <f>G19*G5/(C3/C6)</f>
        <v>0.26666666666666666</v>
      </c>
    </row>
    <row r="26" spans="2:12" x14ac:dyDescent="0.3">
      <c r="F26" s="26"/>
      <c r="G26" s="26"/>
      <c r="H26" s="26"/>
    </row>
    <row r="27" spans="2:12" ht="14.4" customHeight="1" x14ac:dyDescent="0.3">
      <c r="B27" t="s">
        <v>0</v>
      </c>
      <c r="C27" s="27">
        <f>C3</f>
        <v>0.45</v>
      </c>
      <c r="D27" t="s">
        <v>11</v>
      </c>
      <c r="E27" t="s">
        <v>54</v>
      </c>
      <c r="F27" s="9">
        <f>0.2*C$27</f>
        <v>9.0000000000000011E-2</v>
      </c>
      <c r="H27" s="9">
        <f>H24</f>
        <v>0.10948557158514988</v>
      </c>
      <c r="K27" s="29"/>
    </row>
    <row r="28" spans="2:12" x14ac:dyDescent="0.3">
      <c r="B28" t="s">
        <v>1</v>
      </c>
      <c r="C28" s="27">
        <f>C4</f>
        <v>4.4999999999999998E-2</v>
      </c>
      <c r="D28" t="s">
        <v>11</v>
      </c>
      <c r="E28" t="s">
        <v>55</v>
      </c>
      <c r="F28" s="9">
        <f>C31</f>
        <v>2.2499999999999999E-2</v>
      </c>
      <c r="H28" s="9">
        <f>H25+C31</f>
        <v>3.3750000000000002E-2</v>
      </c>
    </row>
    <row r="30" spans="2:12" x14ac:dyDescent="0.3">
      <c r="B30" t="s">
        <v>53</v>
      </c>
      <c r="C30" s="9">
        <f>C31/C25</f>
        <v>1.4999999999999999E-2</v>
      </c>
      <c r="D30" t="s">
        <v>11</v>
      </c>
      <c r="E30" t="s">
        <v>54</v>
      </c>
      <c r="F30" s="9">
        <f>0.2*C$27</f>
        <v>9.0000000000000011E-2</v>
      </c>
      <c r="H30" s="9" t="str">
        <f>IF(C24="Square",F30+C$31,"None")</f>
        <v>None</v>
      </c>
    </row>
    <row r="31" spans="2:12" x14ac:dyDescent="0.3">
      <c r="B31" t="s">
        <v>52</v>
      </c>
      <c r="C31" s="9">
        <f>C28/2</f>
        <v>2.2499999999999999E-2</v>
      </c>
      <c r="D31" t="s">
        <v>11</v>
      </c>
      <c r="E31" t="s">
        <v>55</v>
      </c>
      <c r="F31" s="9">
        <f>C28</f>
        <v>4.4999999999999998E-2</v>
      </c>
      <c r="H31" s="9" t="str">
        <f>IF(C24="Square",F31,"None")</f>
        <v>None</v>
      </c>
    </row>
    <row r="33" spans="2:4" x14ac:dyDescent="0.3">
      <c r="B33" t="s">
        <v>57</v>
      </c>
      <c r="C33" s="8">
        <f>C3/C6</f>
        <v>3.7500000000000003E-3</v>
      </c>
      <c r="D33" t="s">
        <v>59</v>
      </c>
    </row>
    <row r="34" spans="2:4" x14ac:dyDescent="0.3">
      <c r="B34" t="s">
        <v>58</v>
      </c>
      <c r="C34" s="8">
        <f>C4/C7</f>
        <v>1.5E-3</v>
      </c>
      <c r="D34" t="s">
        <v>59</v>
      </c>
    </row>
  </sheetData>
  <mergeCells count="1">
    <mergeCell ref="G13:H13"/>
  </mergeCells>
  <conditionalFormatting sqref="K23">
    <cfRule type="cellIs" dxfId="2" priority="3" operator="equal">
      <formula>TRUE</formula>
    </cfRule>
  </conditionalFormatting>
  <conditionalFormatting sqref="K24">
    <cfRule type="cellIs" dxfId="1" priority="2" operator="lessThan">
      <formula>2300</formula>
    </cfRule>
  </conditionalFormatting>
  <conditionalFormatting sqref="K25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175260</xdr:colOff>
                    <xdr:row>21</xdr:row>
                    <xdr:rowOff>0</xdr:rowOff>
                  </from>
                  <to>
                    <xdr:col>7</xdr:col>
                    <xdr:colOff>137160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99060</xdr:colOff>
                    <xdr:row>22</xdr:row>
                    <xdr:rowOff>0</xdr:rowOff>
                  </from>
                  <to>
                    <xdr:col>9</xdr:col>
                    <xdr:colOff>960120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C11" sqref="C11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f>1.042</f>
        <v>1.042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39"/>
  <sheetViews>
    <sheetView workbookViewId="0">
      <selection activeCell="H26" sqref="H26"/>
    </sheetView>
  </sheetViews>
  <sheetFormatPr defaultRowHeight="14.4" x14ac:dyDescent="0.3"/>
  <cols>
    <col min="3" max="3" width="13.109375" bestFit="1" customWidth="1"/>
  </cols>
  <sheetData>
    <row r="2" spans="2:7" x14ac:dyDescent="0.3">
      <c r="B2" s="47" t="s">
        <v>115</v>
      </c>
    </row>
    <row r="3" spans="2:7" x14ac:dyDescent="0.3">
      <c r="C3" s="33" t="s">
        <v>71</v>
      </c>
      <c r="D3">
        <f>Pitch/Do</f>
        <v>1.5</v>
      </c>
      <c r="E3" s="35" t="s">
        <v>107</v>
      </c>
    </row>
    <row r="4" spans="2:7" x14ac:dyDescent="0.3">
      <c r="C4" s="33" t="s">
        <v>72</v>
      </c>
      <c r="D4">
        <f>Pitch/Do</f>
        <v>1.5</v>
      </c>
      <c r="E4" s="35" t="s">
        <v>107</v>
      </c>
    </row>
    <row r="5" spans="2:7" x14ac:dyDescent="0.3">
      <c r="B5" t="s">
        <v>73</v>
      </c>
      <c r="C5" s="36" t="s">
        <v>70</v>
      </c>
      <c r="D5" s="37">
        <f>1-PI()/(4*P_T)</f>
        <v>0.47640122440170118</v>
      </c>
      <c r="E5" s="35" t="s">
        <v>107</v>
      </c>
    </row>
    <row r="6" spans="2:7" x14ac:dyDescent="0.3">
      <c r="B6" t="s">
        <v>74</v>
      </c>
      <c r="C6" s="36" t="s">
        <v>70</v>
      </c>
      <c r="D6" s="37">
        <f>1-PI()/(4*P_T*P_L)</f>
        <v>0.65093414960113405</v>
      </c>
      <c r="E6" s="35" t="s">
        <v>107</v>
      </c>
    </row>
    <row r="7" spans="2:7" x14ac:dyDescent="0.3">
      <c r="C7" s="33" t="s">
        <v>70</v>
      </c>
      <c r="D7">
        <f>IF(P_L&lt;1,D6,D5)</f>
        <v>0.47640122440170118</v>
      </c>
      <c r="E7" s="35" t="s">
        <v>107</v>
      </c>
    </row>
    <row r="8" spans="2:7" x14ac:dyDescent="0.3">
      <c r="B8">
        <v>4.1159999999999997</v>
      </c>
      <c r="C8" s="36" t="s">
        <v>65</v>
      </c>
      <c r="D8" s="37">
        <f>1+0.7/factor^1.5*(Pitch/Pitch-0.3)/(Pitch/Pitch+0.7)^2</f>
        <v>1.5156308982571498</v>
      </c>
      <c r="E8" s="35" t="s">
        <v>107</v>
      </c>
    </row>
    <row r="9" spans="2:7" x14ac:dyDescent="0.3">
      <c r="B9">
        <v>4.117</v>
      </c>
      <c r="C9" s="36" t="s">
        <v>66</v>
      </c>
      <c r="D9" s="37">
        <f>1+2/(3*P_L)</f>
        <v>1.4444444444444444</v>
      </c>
      <c r="E9" s="35" t="s">
        <v>107</v>
      </c>
    </row>
    <row r="10" spans="2:7" x14ac:dyDescent="0.3">
      <c r="C10" s="33" t="s">
        <v>75</v>
      </c>
      <c r="D10">
        <f>IF('Grid settings'!C24="Triangular",phi_st,phi_in)</f>
        <v>1.4444444444444444</v>
      </c>
      <c r="E10" s="35" t="s">
        <v>107</v>
      </c>
    </row>
    <row r="11" spans="2:7" x14ac:dyDescent="0.3">
      <c r="C11" s="33" t="s">
        <v>67</v>
      </c>
      <c r="D11" s="34">
        <v>2</v>
      </c>
      <c r="E11" s="35" t="s">
        <v>107</v>
      </c>
    </row>
    <row r="12" spans="2:7" x14ac:dyDescent="0.3">
      <c r="B12">
        <v>4.1130000000000004</v>
      </c>
      <c r="C12" s="33" t="s">
        <v>111</v>
      </c>
      <c r="D12" s="42">
        <f>U_in*Pitch/(Pitch-PI()/4*Do)</f>
        <v>4.1981420230641584</v>
      </c>
      <c r="E12" t="s">
        <v>108</v>
      </c>
    </row>
    <row r="13" spans="2:7" x14ac:dyDescent="0.3">
      <c r="C13" s="33" t="s">
        <v>81</v>
      </c>
      <c r="D13" s="46">
        <f>'Fluid properties'!B4*U_av*Do/'Fluid properties'!B5</f>
        <v>3280.8479910246397</v>
      </c>
      <c r="E13" s="35" t="s">
        <v>107</v>
      </c>
    </row>
    <row r="14" spans="2:7" x14ac:dyDescent="0.3">
      <c r="C14" s="33" t="s">
        <v>82</v>
      </c>
      <c r="D14" s="40">
        <f>'Fluid properties'!B5*'Fluid properties'!B6/'Fluid properties'!B7</f>
        <v>0.81040000000000001</v>
      </c>
      <c r="E14" s="35" t="s">
        <v>107</v>
      </c>
    </row>
    <row r="15" spans="2:7" x14ac:dyDescent="0.3">
      <c r="B15" t="s">
        <v>77</v>
      </c>
      <c r="C15" s="36" t="s">
        <v>76</v>
      </c>
      <c r="D15" s="37">
        <f>0.3+0.62*ReD^0.5*Pr^(1/3)/(1+(0.4/Pr)^(2/3))^(1/4)</f>
        <v>29.626978902712327</v>
      </c>
      <c r="E15" s="35" t="s">
        <v>107</v>
      </c>
      <c r="F15" t="s">
        <v>80</v>
      </c>
      <c r="G15" s="48" t="s">
        <v>86</v>
      </c>
    </row>
    <row r="16" spans="2:7" x14ac:dyDescent="0.3">
      <c r="B16" t="s">
        <v>78</v>
      </c>
      <c r="C16" s="36" t="s">
        <v>76</v>
      </c>
      <c r="D16" s="39"/>
      <c r="E16" s="35" t="s">
        <v>107</v>
      </c>
    </row>
    <row r="17" spans="2:6" x14ac:dyDescent="0.3">
      <c r="B17" t="s">
        <v>79</v>
      </c>
      <c r="C17" s="36" t="s">
        <v>76</v>
      </c>
      <c r="D17" s="39"/>
      <c r="E17" s="35" t="s">
        <v>107</v>
      </c>
    </row>
    <row r="18" spans="2:6" x14ac:dyDescent="0.3">
      <c r="C18" s="33" t="s">
        <v>76</v>
      </c>
      <c r="D18">
        <f>D15</f>
        <v>29.626978902712327</v>
      </c>
      <c r="E18" s="35" t="s">
        <v>107</v>
      </c>
    </row>
    <row r="19" spans="2:6" x14ac:dyDescent="0.3">
      <c r="B19" s="35" t="s">
        <v>68</v>
      </c>
      <c r="C19" s="33" t="s">
        <v>69</v>
      </c>
      <c r="D19" s="38">
        <f>1+(N_rows-1)*phi/N_rows*Nu_D1</f>
        <v>22.397262540847791</v>
      </c>
      <c r="E19" s="35" t="s">
        <v>107</v>
      </c>
    </row>
    <row r="20" spans="2:6" x14ac:dyDescent="0.3">
      <c r="B20" t="s">
        <v>93</v>
      </c>
      <c r="C20" s="33" t="s">
        <v>87</v>
      </c>
      <c r="D20">
        <f>Nu_D*'Fluid properties'!B7/Do</f>
        <v>37.328770901412987</v>
      </c>
      <c r="E20" t="s">
        <v>88</v>
      </c>
    </row>
    <row r="21" spans="2:6" x14ac:dyDescent="0.3">
      <c r="C21" s="33" t="s">
        <v>90</v>
      </c>
      <c r="D21">
        <f>PI()*Do*1</f>
        <v>4.7123889803846894E-2</v>
      </c>
      <c r="E21" t="s">
        <v>92</v>
      </c>
      <c r="F21" t="s">
        <v>105</v>
      </c>
    </row>
    <row r="22" spans="2:6" x14ac:dyDescent="0.3">
      <c r="C22" s="33" t="s">
        <v>91</v>
      </c>
      <c r="D22" s="44">
        <v>4</v>
      </c>
      <c r="E22" s="35" t="s">
        <v>107</v>
      </c>
    </row>
    <row r="23" spans="2:6" x14ac:dyDescent="0.3">
      <c r="C23" s="33" t="s">
        <v>89</v>
      </c>
      <c r="D23">
        <f>N_tubes*A_1</f>
        <v>0.18849555921538758</v>
      </c>
      <c r="E23" t="s">
        <v>92</v>
      </c>
    </row>
    <row r="25" spans="2:6" x14ac:dyDescent="0.3">
      <c r="C25" s="33" t="s">
        <v>98</v>
      </c>
      <c r="D25">
        <f>YMAX*1</f>
        <v>4.4999999999999998E-2</v>
      </c>
      <c r="E25" t="s">
        <v>92</v>
      </c>
      <c r="F25" t="s">
        <v>105</v>
      </c>
    </row>
    <row r="26" spans="2:6" x14ac:dyDescent="0.3">
      <c r="C26" s="33" t="s">
        <v>96</v>
      </c>
      <c r="D26" s="43">
        <f>U_in*A_flow</f>
        <v>0.09</v>
      </c>
      <c r="E26" t="s">
        <v>99</v>
      </c>
    </row>
    <row r="27" spans="2:6" x14ac:dyDescent="0.3">
      <c r="C27" s="33" t="s">
        <v>97</v>
      </c>
      <c r="D27" s="43">
        <f>'Fluid properties'!B4*V_flow</f>
        <v>9.3780000000000002E-2</v>
      </c>
      <c r="E27" t="s">
        <v>100</v>
      </c>
    </row>
    <row r="28" spans="2:6" x14ac:dyDescent="0.3">
      <c r="B28" t="s">
        <v>95</v>
      </c>
      <c r="C28" s="33" t="s">
        <v>94</v>
      </c>
      <c r="D28">
        <f>hc*Atot/(m_flow*'Fluid properties'!B6)</f>
        <v>7.4067065721699465E-2</v>
      </c>
      <c r="E28" s="35" t="s">
        <v>107</v>
      </c>
    </row>
    <row r="29" spans="2:6" x14ac:dyDescent="0.3">
      <c r="B29" s="35" t="s">
        <v>101</v>
      </c>
      <c r="C29" s="33" t="s">
        <v>102</v>
      </c>
      <c r="D29">
        <f>1-EXP(-Ntu)</f>
        <v>7.1390586107633935E-2</v>
      </c>
      <c r="E29" s="35" t="s">
        <v>107</v>
      </c>
    </row>
    <row r="30" spans="2:6" x14ac:dyDescent="0.3">
      <c r="C30" s="33" t="s">
        <v>103</v>
      </c>
      <c r="D30" s="41">
        <f>effectiveness*(T_obj-T0)+T0</f>
        <v>295.85562344430537</v>
      </c>
      <c r="E30" t="s">
        <v>109</v>
      </c>
    </row>
    <row r="31" spans="2:6" x14ac:dyDescent="0.3">
      <c r="C31" s="33" t="s">
        <v>104</v>
      </c>
      <c r="D31">
        <f>m_flow*'Fluid properties'!B6*(Tout-T0)</f>
        <v>271.28177137284763</v>
      </c>
      <c r="E31" t="s">
        <v>110</v>
      </c>
      <c r="F31" t="s">
        <v>106</v>
      </c>
    </row>
    <row r="33" spans="2:8" x14ac:dyDescent="0.3">
      <c r="B33" s="47" t="s">
        <v>113</v>
      </c>
      <c r="C33" s="33"/>
    </row>
    <row r="34" spans="2:8" x14ac:dyDescent="0.3">
      <c r="B34" t="s">
        <v>84</v>
      </c>
      <c r="C34" s="36" t="s">
        <v>83</v>
      </c>
      <c r="D34" s="45">
        <f>U_in*Pitch/(Pitch-Do)</f>
        <v>6</v>
      </c>
      <c r="E34" t="s">
        <v>108</v>
      </c>
    </row>
    <row r="35" spans="2:8" x14ac:dyDescent="0.3">
      <c r="B35" t="s">
        <v>85</v>
      </c>
      <c r="C35" s="36" t="s">
        <v>83</v>
      </c>
      <c r="D35" s="45">
        <f>MAX(F35,G35)</f>
        <v>6</v>
      </c>
      <c r="E35" t="s">
        <v>108</v>
      </c>
      <c r="F35">
        <f>U_in*Pitch/(Pitch-Do)</f>
        <v>6</v>
      </c>
      <c r="G35">
        <f>Pitch/2/(SQRT(Pitch^2+(Pitch/2)^2)-Do)</f>
        <v>1.1077452343964864</v>
      </c>
      <c r="H35" t="s">
        <v>108</v>
      </c>
    </row>
    <row r="36" spans="2:8" x14ac:dyDescent="0.3">
      <c r="C36" s="33" t="s">
        <v>83</v>
      </c>
      <c r="D36" s="41">
        <f>IF('Grid settings'!C24="Triangular",D35,D34)</f>
        <v>6</v>
      </c>
      <c r="E36" t="s">
        <v>108</v>
      </c>
    </row>
    <row r="37" spans="2:8" x14ac:dyDescent="0.3">
      <c r="C37" s="33" t="s">
        <v>114</v>
      </c>
      <c r="D37">
        <v>1</v>
      </c>
      <c r="E37" s="35" t="s">
        <v>119</v>
      </c>
      <c r="F37" s="50" t="s">
        <v>120</v>
      </c>
    </row>
    <row r="38" spans="2:8" x14ac:dyDescent="0.3">
      <c r="C38" s="33" t="s">
        <v>116</v>
      </c>
      <c r="D38" s="49">
        <v>0.52</v>
      </c>
      <c r="E38" s="35" t="s">
        <v>107</v>
      </c>
      <c r="F38" s="48" t="s">
        <v>117</v>
      </c>
    </row>
    <row r="39" spans="2:8" x14ac:dyDescent="0.3">
      <c r="B39" s="35" t="s">
        <v>118</v>
      </c>
      <c r="C39" s="33" t="s">
        <v>112</v>
      </c>
      <c r="D39">
        <f>N_tubes*X*('Fluid properties'!B4*U_max^2/2)*friction</f>
        <v>39.012480000000004</v>
      </c>
      <c r="E39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31</vt:i4>
      </vt:variant>
    </vt:vector>
  </HeadingPairs>
  <TitlesOfParts>
    <vt:vector size="35" baseType="lpstr">
      <vt:lpstr>Constraints</vt:lpstr>
      <vt:lpstr>Grid settings</vt:lpstr>
      <vt:lpstr>Fluid properties</vt:lpstr>
      <vt:lpstr>Analytical Calc</vt:lpstr>
      <vt:lpstr>A_1</vt:lpstr>
      <vt:lpstr>A_flow</vt:lpstr>
      <vt:lpstr>Atot</vt:lpstr>
      <vt:lpstr>Do</vt:lpstr>
      <vt:lpstr>effectiveness</vt:lpstr>
      <vt:lpstr>factor</vt:lpstr>
      <vt:lpstr>friction</vt:lpstr>
      <vt:lpstr>hc</vt:lpstr>
      <vt:lpstr>m_flow</vt:lpstr>
      <vt:lpstr>N_rows</vt:lpstr>
      <vt:lpstr>N_tubes</vt:lpstr>
      <vt:lpstr>Ntu</vt:lpstr>
      <vt:lpstr>Nu_D</vt:lpstr>
      <vt:lpstr>Nu_D1</vt:lpstr>
      <vt:lpstr>P_L</vt:lpstr>
      <vt:lpstr>P_T</vt:lpstr>
      <vt:lpstr>phi</vt:lpstr>
      <vt:lpstr>phi_in</vt:lpstr>
      <vt:lpstr>phi_st</vt:lpstr>
      <vt:lpstr>Pitch</vt:lpstr>
      <vt:lpstr>Pr</vt:lpstr>
      <vt:lpstr>ReD</vt:lpstr>
      <vt:lpstr>T_obj</vt:lpstr>
      <vt:lpstr>T0</vt:lpstr>
      <vt:lpstr>Tout</vt:lpstr>
      <vt:lpstr>U_av</vt:lpstr>
      <vt:lpstr>U_in</vt:lpstr>
      <vt:lpstr>U_max</vt:lpstr>
      <vt:lpstr>V_flow</vt:lpstr>
      <vt:lpstr>X</vt:lpstr>
      <vt:lpstr>YMAX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2018-04-17T14:48:55Z</dcterms:modified>
</cp:coreProperties>
</file>