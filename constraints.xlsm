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60" windowWidth="11928" windowHeight="10068"/>
  </bookViews>
  <sheets>
    <sheet name="Constraints" sheetId="1" r:id="rId1"/>
    <sheet name="Grid settings" sheetId="2" r:id="rId2"/>
    <sheet name="Fluid properties" sheetId="3" r:id="rId3"/>
  </sheets>
  <calcPr calcId="171027"/>
</workbook>
</file>

<file path=xl/calcChain.xml><?xml version="1.0" encoding="utf-8"?>
<calcChain xmlns="http://schemas.openxmlformats.org/spreadsheetml/2006/main">
  <c r="K24" i="2" l="1"/>
  <c r="K25" i="2" l="1"/>
  <c r="C34" i="2" l="1"/>
  <c r="E34" i="2" s="1"/>
  <c r="C33" i="2"/>
  <c r="E33" i="2" s="1"/>
  <c r="C28" i="2"/>
  <c r="C31" i="2" s="1"/>
  <c r="F28" i="2" s="1"/>
  <c r="C27" i="2"/>
  <c r="F30" i="2" l="1"/>
  <c r="F24" i="2"/>
  <c r="H24" i="2" s="1"/>
  <c r="F27" i="2"/>
  <c r="F31" i="2"/>
  <c r="H31" i="2" s="1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<sst xmlns="http://schemas.openxmlformats.org/spreadsheetml/2006/main" count="91" uniqueCount="66">
  <si>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</si>
  <si>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</si>
  <si>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</si>
  <si>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</si>
  <si>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</si>
  <si>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</si>
  <si>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</si>
  <si>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</si>
  <si>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</si>
  <si>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</si>
  <si>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</si>
  <si>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</si>
  <si>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</si>
  <si>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</si>
  <si>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</si>
  <si>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</si>
  <si>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</si>
  <si>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</si>
  <si>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</si>
  <si>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</si>
  <si>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</si>
  <si>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</si>
  <si>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</si>
  <si>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</si>
  <si>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</si>
  <si>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</si>
  <si>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</si>
  <si>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</si>
  <si>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</si>
  <si>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</si>
  <si>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</si>
  <si>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</si>
  <si>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</si>
  <si>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</si>
  <si>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</si>
  <si>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</si>
  <si>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</si>
  <si>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</si>
  <si>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</si>
  <si>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</si>
  <si>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</si>
  <si>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</si>
  <si>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</si>
  <si>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</si>
  <si>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</si>
  <si>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</si>
  <si>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</si>
  <si>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</si>
  <si>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</si>
  <si>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</si>
  <si>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</si>
  <si>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</si>
  <si>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</si>
  <si>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</si>
  <si>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</si>
  <si>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</si>
  <si>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</si>
  <si>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</si>
  <si>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</si>
  <si>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</si>
  <si>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</si>
  <si>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</si>
  <si>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</si>
  <si>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Triangular</t>
  </si>
  <si>
    <t>Re</t>
  </si>
  <si>
    <t>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</si>
</sst>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A5A5A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  <xf numFmtId="0" fontId="8" fillId="13" borderId="5" applyNumberFormat="0" applyAlignment="0" applyProtection="0"/>
  </cellStyleXfs>
  <cellXfs count="35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  <xf numFmtId="0" fontId="2" fillId="6" borderId="3" xfId="1" applyAlignment="1">
      <alignment horizontal="center"/>
    </xf>
    <xf numFmtId="0" fontId="8" fillId="13" borderId="5" xfId="3"/>
  </cellXfs>
  <cellStyles count="4">
    <cellStyle name="Berekening" xfId="2" builtinId="22"/>
    <cellStyle name="Controlecel" xfId="3" builtinId="23"/>
    <cellStyle name="Invoer" xfId="1" builtinId="20"/>
    <cellStyle name="Standaard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22</xdr:row>
          <xdr:rowOff>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FO32"/>
  <sheetViews>
    <sheetView tabSelected="1" zoomScale="47" zoomScaleNormal="47" workbookViewId="0">
      <selection activeCell="V53" sqref="V53"/>
    </sheetView>
  </sheetViews>
  <sheetFormatPr defaultRowHeight="14.4" x14ac:dyDescent="0.3"/>
  <cols>
    <col min="1" max="122" width="2.44140625" customWidth="1"/>
  </cols>
  <sheetData>
    <row r="1" spans="1:171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2"/>
    </row>
    <row r="2" spans="1:171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28"/>
      <c r="Y2" s="28"/>
      <c r="Z2" s="28"/>
      <c r="AA2" s="28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2"/>
      <c r="FO2" t="s">
        <v>47</v>
      </c>
    </row>
    <row r="3" spans="1:171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28"/>
      <c r="Y3" s="28"/>
      <c r="Z3" s="28"/>
      <c r="AA3" s="28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2"/>
    </row>
    <row r="4" spans="1:171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28"/>
      <c r="Y4" s="28"/>
      <c r="Z4" s="28"/>
      <c r="AA4" s="28"/>
      <c r="AB4" s="1"/>
      <c r="AC4" s="1"/>
      <c r="AD4" s="28"/>
      <c r="AE4" s="28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2"/>
    </row>
    <row r="5" spans="1:171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28"/>
      <c r="Z5" s="28"/>
      <c r="AA5" s="1"/>
      <c r="AB5" s="1"/>
      <c r="AC5" s="1"/>
      <c r="AD5" s="28"/>
      <c r="AE5" s="28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2"/>
    </row>
    <row r="6" spans="1:171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8"/>
      <c r="Z6" s="28"/>
      <c r="AA6" s="1"/>
      <c r="AB6" s="1"/>
      <c r="AC6" s="28"/>
      <c r="AD6" s="28"/>
      <c r="AE6" s="28"/>
      <c r="AF6" s="28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2"/>
    </row>
    <row r="7" spans="1:171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28"/>
      <c r="AD7" s="28"/>
      <c r="AE7" s="28"/>
      <c r="AF7" s="28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2"/>
    </row>
    <row r="8" spans="1:171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8"/>
      <c r="AD8" s="28"/>
      <c r="AE8" s="28"/>
      <c r="AF8" s="28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2"/>
    </row>
    <row r="9" spans="1:171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8"/>
      <c r="AD9" s="28"/>
      <c r="AE9" s="28"/>
      <c r="AF9" s="28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2"/>
    </row>
    <row r="10" spans="1:171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8"/>
      <c r="AD10" s="28"/>
      <c r="AE10" s="28"/>
      <c r="AF10" s="28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2"/>
    </row>
    <row r="11" spans="1:171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8"/>
      <c r="AD11" s="28"/>
      <c r="AE11" s="28"/>
      <c r="AF11" s="28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2"/>
    </row>
    <row r="12" spans="1:171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28"/>
      <c r="Z12" s="28"/>
      <c r="AA12" s="1"/>
      <c r="AB12" s="1"/>
      <c r="AC12" s="1"/>
      <c r="AD12" s="28"/>
      <c r="AE12" s="28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2"/>
    </row>
    <row r="13" spans="1:171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28"/>
      <c r="Z13" s="28"/>
      <c r="AA13" s="1"/>
      <c r="AB13" s="1"/>
      <c r="AC13" s="1"/>
      <c r="AD13" s="28"/>
      <c r="AE13" s="28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2"/>
    </row>
    <row r="14" spans="1:171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28"/>
      <c r="Y14" s="28"/>
      <c r="Z14" s="28"/>
      <c r="AA14" s="28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2"/>
    </row>
    <row r="15" spans="1:171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28"/>
      <c r="Y15" s="28"/>
      <c r="Z15" s="28"/>
      <c r="AA15" s="28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2"/>
    </row>
    <row r="16" spans="1:171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28"/>
      <c r="Y16" s="28"/>
      <c r="Z16" s="28"/>
      <c r="AA16" s="28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2"/>
    </row>
    <row r="17" spans="1:12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28"/>
      <c r="Y17" s="28"/>
      <c r="Z17" s="28"/>
      <c r="AA17" s="28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2"/>
    </row>
    <row r="18" spans="1:12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28"/>
      <c r="Y18" s="28"/>
      <c r="Z18" s="28"/>
      <c r="AA18" s="28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2"/>
    </row>
    <row r="19" spans="1:12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28"/>
      <c r="Y19" s="28"/>
      <c r="Z19" s="28"/>
      <c r="AA19" s="28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2"/>
    </row>
    <row r="20" spans="1:12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28"/>
      <c r="Z20" s="28"/>
      <c r="AA20" s="1"/>
      <c r="AB20" s="1"/>
      <c r="AC20" s="1"/>
      <c r="AD20" s="28"/>
      <c r="AE20" s="28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2"/>
    </row>
    <row r="21" spans="1:12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28"/>
      <c r="Z21" s="28"/>
      <c r="AA21" s="1"/>
      <c r="AB21" s="1"/>
      <c r="AC21" s="1"/>
      <c r="AD21" s="28"/>
      <c r="AE21" s="28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2"/>
    </row>
    <row r="22" spans="1:12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28"/>
      <c r="AD22" s="28"/>
      <c r="AE22" s="28"/>
      <c r="AF22" s="28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2"/>
    </row>
    <row r="23" spans="1:12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28"/>
      <c r="AD23" s="28"/>
      <c r="AE23" s="28"/>
      <c r="AF23" s="28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2"/>
    </row>
    <row r="24" spans="1:12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28"/>
      <c r="AD24" s="28"/>
      <c r="AE24" s="28"/>
      <c r="AF24" s="28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2"/>
    </row>
    <row r="25" spans="1:12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28"/>
      <c r="AD25" s="28"/>
      <c r="AE25" s="28"/>
      <c r="AF25" s="28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2"/>
    </row>
    <row r="26" spans="1:12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28"/>
      <c r="AD26" s="28"/>
      <c r="AE26" s="28"/>
      <c r="AF26" s="28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2"/>
    </row>
    <row r="27" spans="1:12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28"/>
      <c r="Z27" s="28"/>
      <c r="AA27" s="1"/>
      <c r="AB27" s="1"/>
      <c r="AC27" s="28"/>
      <c r="AD27" s="28"/>
      <c r="AE27" s="28"/>
      <c r="AF27" s="28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2"/>
    </row>
    <row r="28" spans="1:12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28"/>
      <c r="Z28" s="28"/>
      <c r="AA28" s="1"/>
      <c r="AB28" s="1"/>
      <c r="AC28" s="1"/>
      <c r="AD28" s="28"/>
      <c r="AE28" s="28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2"/>
    </row>
    <row r="29" spans="1:12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28"/>
      <c r="Y29" s="28"/>
      <c r="Z29" s="28"/>
      <c r="AA29" s="28"/>
      <c r="AB29" s="1"/>
      <c r="AC29" s="1"/>
      <c r="AD29" s="28"/>
      <c r="AE29" s="28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2"/>
    </row>
    <row r="30" spans="1:12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28"/>
      <c r="Y30" s="28"/>
      <c r="Z30" s="28"/>
      <c r="AA30" s="28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2"/>
    </row>
    <row r="31" spans="1:12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28"/>
      <c r="Y31" s="28"/>
      <c r="Z31" s="28"/>
      <c r="AA31" s="28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2"/>
    </row>
    <row r="32" spans="1:122" ht="4.95" customHeight="1" x14ac:dyDescent="0.3">
      <c r="A32" s="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5"/>
  <sheetViews>
    <sheetView workbookViewId="0">
      <selection activeCell="C7" sqref="C7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1" max="11" width="9.5546875" bestFit="1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30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120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30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1E-3</v>
      </c>
      <c r="H19" s="23"/>
    </row>
    <row r="20" spans="2:12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1" t="b">
        <v>0</v>
      </c>
    </row>
    <row r="24" spans="2:12" x14ac:dyDescent="0.3">
      <c r="B24" t="s">
        <v>50</v>
      </c>
      <c r="C24" s="8" t="s">
        <v>63</v>
      </c>
      <c r="E24" t="s">
        <v>54</v>
      </c>
      <c r="F24" s="9">
        <f>0.2*C$27</f>
        <v>9.0000000000000011E-2</v>
      </c>
      <c r="H24" s="9">
        <f>F24+IF(C24="Square",C31,SQRT(C31^2 - (C31/2)^2))</f>
        <v>0.10948557158514988</v>
      </c>
      <c r="J24" t="s">
        <v>64</v>
      </c>
      <c r="K24" s="32">
        <f>K14*G5*C4/K15</f>
        <v>4499.9999999999991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2">
        <f>G19*G5/(C3/C6)</f>
        <v>0.53333333333333333</v>
      </c>
    </row>
    <row r="26" spans="2:12" x14ac:dyDescent="0.3">
      <c r="F26" s="26"/>
      <c r="G26" s="26"/>
      <c r="H26" s="26"/>
    </row>
    <row r="27" spans="2:12" ht="14.4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0.2*C$27</f>
        <v>9.0000000000000011E-2</v>
      </c>
      <c r="H27" s="9">
        <f>H24</f>
        <v>0.10948557158514988</v>
      </c>
      <c r="K27" s="29"/>
    </row>
    <row r="28" spans="2:12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0.2*C$27</f>
        <v>9.0000000000000011E-2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2" spans="2:12" ht="15" thickBot="1" x14ac:dyDescent="0.35"/>
    <row r="33" spans="2:6" ht="15.6" thickTop="1" thickBot="1" x14ac:dyDescent="0.35">
      <c r="B33" t="s">
        <v>57</v>
      </c>
      <c r="C33" s="34">
        <f>C3/C6</f>
        <v>3.7500000000000003E-3</v>
      </c>
      <c r="D33" t="s">
        <v>59</v>
      </c>
      <c r="E33" s="34">
        <f>C30/C33</f>
        <v>3.9999999999999996</v>
      </c>
      <c r="F33" t="s">
        <v>65</v>
      </c>
    </row>
    <row r="34" spans="2:6" ht="15.6" thickTop="1" thickBot="1" x14ac:dyDescent="0.35">
      <c r="B34" t="s">
        <v>58</v>
      </c>
      <c r="C34" s="34">
        <f>C4/C7</f>
        <v>1.5E-3</v>
      </c>
      <c r="D34" t="s">
        <v>59</v>
      </c>
      <c r="E34" s="34">
        <f>C30/C34</f>
        <v>10</v>
      </c>
      <c r="F34" t="s">
        <v>65</v>
      </c>
    </row>
    <row r="35" spans="2:6" ht="15" thickTop="1" x14ac:dyDescent="0.3"/>
  </sheetData>
  <mergeCells count="1">
    <mergeCell ref="G13:H13"/>
  </mergeCells>
  <conditionalFormatting sqref="K23">
    <cfRule type="cellIs" dxfId="2" priority="3" operator="equal">
      <formula>TRUE</formula>
    </cfRule>
  </conditionalFormatting>
  <conditionalFormatting sqref="K24">
    <cfRule type="cellIs" dxfId="1" priority="2" operator="lessThan">
      <formula>2300</formula>
    </cfRule>
  </conditionalFormatting>
  <conditionalFormatting sqref="K25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99060</xdr:colOff>
                    <xdr:row>22</xdr:row>
                    <xdr:rowOff>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2018-04-17T12:44:14Z</dcterms:modified>
</cp:coreProperties>
</file>