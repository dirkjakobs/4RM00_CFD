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60" windowWidth="11928" windowHeight="10068" activeTab="1"/>
  </bookViews>
  <sheets>
    <sheet name="Constraints" sheetId="1" r:id="rId1"/>
    <sheet name="Grid settings" sheetId="2" r:id="rId2"/>
    <sheet name="Fluid properties" sheetId="3" r:id="rId3"/>
  </sheets>
  <calcPr calcId="171027"/>
</workbook>
</file>

<file path=xl/calcChain.xml><?xml version="1.0" encoding="utf-8"?>
<calcChain xmlns="http://schemas.openxmlformats.org/spreadsheetml/2006/main">
  <c r="K24" i="2" l="1"/>
  <c r="K25" i="2" l="1"/>
  <c r="C34" i="2" l="1"/>
  <c r="C33" i="2"/>
  <c r="C28" i="2"/>
  <c r="C31" i="2" s="1"/>
  <c r="F28" i="2" s="1"/>
  <c r="C27" i="2"/>
  <c r="F27" i="2" l="1"/>
  <c r="F24" i="2"/>
  <c r="H24" i="2" s="1"/>
  <c r="F31" i="2"/>
  <c r="H31" i="2" s="1"/>
  <c r="F30" i="2"/>
  <c r="H25" i="2"/>
  <c r="C5" i="2" l="1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<sst xmlns="http://schemas.openxmlformats.org/spreadsheetml/2006/main" count="89" uniqueCount="65">
  <si>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</si>
  <si>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</si>
  <si>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</si>
  <si>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</si>
  <si>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</si>
  <si>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</si>
  <si>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</si>
  <si>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</si>
  <si>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</si>
  <si>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</si>
  <si>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</si>
  <si>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</si>
  <si>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</si>
  <si>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</si>
  <si>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</si>
  <si>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</si>
  <si>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</si>
  <si>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</si>
  <si>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</si>
  <si>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</si>
  <si>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</si>
  <si>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</si>
  <si>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</si>
  <si>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</si>
  <si>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</si>
  <si>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</si>
  <si>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</si>
  <si>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</si>
  <si>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</si>
  <si>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</si>
  <si>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</si>
  <si>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</si>
  <si>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</si>
  <si>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</si>
  <si>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</si>
  <si>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</si>
  <si>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</si>
  <si>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</si>
  <si>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</si>
  <si>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</si>
  <si>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</si>
  <si>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</si>
  <si>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</si>
  <si>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</si>
  <si>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</si>
  <si>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</si>
  <si>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</si>
  <si>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</si>
  <si>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</si>
  <si>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</si>
  <si>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</si>
  <si>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</si>
  <si>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</si>
  <si>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</si>
  <si>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</si>
  <si>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</si>
  <si>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</si>
  <si>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</si>
  <si>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</si>
  <si>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</si>
  <si>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</si>
  <si>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</si>
  <si>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Quarant kental</t>
  </si>
  <si>
    <t>Triangular</t>
  </si>
  <si>
    <t>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</si>
</sst>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4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0" fillId="12" borderId="1" xfId="0" applyFill="1" applyBorder="1"/>
    <xf numFmtId="0" fontId="7" fillId="0" borderId="0" xfId="0" applyFont="1"/>
    <xf numFmtId="0" fontId="2" fillId="6" borderId="3" xfId="1" applyAlignment="1">
      <alignment horizontal="center"/>
    </xf>
    <xf numFmtId="164" fontId="2" fillId="6" borderId="3" xfId="1" applyNumberFormat="1"/>
    <xf numFmtId="0" fontId="0" fillId="11" borderId="1" xfId="0" applyFill="1" applyBorder="1"/>
    <xf numFmtId="2" fontId="0" fillId="11" borderId="1" xfId="0" applyNumberFormat="1" applyFill="1" applyBorder="1"/>
  </cellXfs>
  <cellStyles count="3">
    <cellStyle name="Berekening" xfId="2" builtinId="22"/>
    <cellStyle name="Invoer" xfId="1" builtinId="20"/>
    <cellStyle name="Standaard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4</xdr:col>
          <xdr:colOff>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0</xdr:rowOff>
        </xdr:from>
        <xdr:to>
          <xdr:col>7</xdr:col>
          <xdr:colOff>137160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22</xdr:row>
          <xdr:rowOff>0</xdr:rowOff>
        </xdr:from>
        <xdr:to>
          <xdr:col>9</xdr:col>
          <xdr:colOff>960120</xdr:colOff>
          <xdr:row>23</xdr:row>
          <xdr:rowOff>22860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IH62"/>
  <sheetViews>
    <sheetView zoomScaleNormal="100" workbookViewId="0">
      <selection activeCell="CI15" sqref="CI15"/>
    </sheetView>
  </sheetViews>
  <sheetFormatPr defaultRowHeight="14.4" x14ac:dyDescent="0.3"/>
  <cols>
    <col min="1" max="242" width="1.44140625" customWidth="1"/>
  </cols>
  <sheetData>
    <row r="1" spans="1:242" ht="4.95" customHeight="1" x14ac:dyDescent="0.3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2"/>
    </row>
    <row r="2" spans="1:242" ht="4.95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28"/>
      <c r="BG2" s="28"/>
      <c r="BH2" s="28"/>
      <c r="BI2" s="28"/>
      <c r="BJ2" s="28"/>
      <c r="BK2" s="28"/>
      <c r="BL2" s="28"/>
      <c r="BM2" s="28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 t="s">
        <v>47</v>
      </c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 t="s">
        <v>47</v>
      </c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 t="s">
        <v>47</v>
      </c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2"/>
    </row>
    <row r="3" spans="1:242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28"/>
      <c r="BG3" s="28"/>
      <c r="BH3" s="28"/>
      <c r="BI3" s="28"/>
      <c r="BJ3" s="28"/>
      <c r="BK3" s="28"/>
      <c r="BL3" s="28"/>
      <c r="BM3" s="28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2"/>
    </row>
    <row r="4" spans="1:242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28"/>
      <c r="BG4" s="28"/>
      <c r="BH4" s="28"/>
      <c r="BI4" s="28"/>
      <c r="BJ4" s="28"/>
      <c r="BK4" s="28"/>
      <c r="BL4" s="28"/>
      <c r="BM4" s="28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2"/>
    </row>
    <row r="5" spans="1:242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28"/>
      <c r="BG5" s="28"/>
      <c r="BH5" s="28"/>
      <c r="BI5" s="28"/>
      <c r="BJ5" s="28"/>
      <c r="BK5" s="28"/>
      <c r="BL5" s="28"/>
      <c r="BM5" s="28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2"/>
    </row>
    <row r="6" spans="1:242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28"/>
      <c r="BH6" s="28"/>
      <c r="BI6" s="28"/>
      <c r="BJ6" s="28"/>
      <c r="BK6" s="28"/>
      <c r="BL6" s="28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2"/>
    </row>
    <row r="7" spans="1:242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28"/>
      <c r="BH7" s="28"/>
      <c r="BI7" s="28"/>
      <c r="BJ7" s="28"/>
      <c r="BK7" s="28"/>
      <c r="BL7" s="28"/>
      <c r="BM7" s="1"/>
      <c r="BN7" s="1"/>
      <c r="BO7" s="1"/>
      <c r="BP7" s="1"/>
      <c r="BQ7" s="1"/>
      <c r="BR7" s="1"/>
      <c r="BS7" s="28"/>
      <c r="BT7" s="28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2"/>
    </row>
    <row r="8" spans="1:242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28"/>
      <c r="BH8" s="28"/>
      <c r="BI8" s="28"/>
      <c r="BJ8" s="28"/>
      <c r="BK8" s="28"/>
      <c r="BL8" s="28"/>
      <c r="BM8" s="1"/>
      <c r="BN8" s="1"/>
      <c r="BO8" s="1"/>
      <c r="BP8" s="1"/>
      <c r="BQ8" s="1"/>
      <c r="BR8" s="28"/>
      <c r="BS8" s="28"/>
      <c r="BT8" s="28"/>
      <c r="BU8" s="28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2"/>
    </row>
    <row r="9" spans="1:242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28"/>
      <c r="BI9" s="28"/>
      <c r="BJ9" s="28"/>
      <c r="BK9" s="28"/>
      <c r="BL9" s="1"/>
      <c r="BM9" s="1"/>
      <c r="BN9" s="1"/>
      <c r="BO9" s="1"/>
      <c r="BP9" s="1"/>
      <c r="BQ9" s="1"/>
      <c r="BR9" s="28"/>
      <c r="BS9" s="28"/>
      <c r="BT9" s="28"/>
      <c r="BU9" s="28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2"/>
    </row>
    <row r="10" spans="1:242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28"/>
      <c r="BI10" s="28"/>
      <c r="BJ10" s="28"/>
      <c r="BK10" s="28"/>
      <c r="BL10" s="1"/>
      <c r="BM10" s="1"/>
      <c r="BN10" s="1"/>
      <c r="BO10" s="1"/>
      <c r="BP10" s="1"/>
      <c r="BQ10" s="28"/>
      <c r="BR10" s="28"/>
      <c r="BS10" s="28"/>
      <c r="BT10" s="28"/>
      <c r="BU10" s="28"/>
      <c r="BV10" s="28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2"/>
    </row>
    <row r="11" spans="1:242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28"/>
      <c r="BJ11" s="28"/>
      <c r="BK11" s="1"/>
      <c r="BL11" s="1"/>
      <c r="BM11" s="1"/>
      <c r="BN11" s="1"/>
      <c r="BO11" s="1"/>
      <c r="BP11" s="1"/>
      <c r="BQ11" s="28"/>
      <c r="BR11" s="28"/>
      <c r="BS11" s="28"/>
      <c r="BT11" s="28"/>
      <c r="BU11" s="28"/>
      <c r="BV11" s="28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2"/>
    </row>
    <row r="12" spans="1:242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28"/>
      <c r="BR12" s="28"/>
      <c r="BS12" s="28"/>
      <c r="BT12" s="28"/>
      <c r="BU12" s="28"/>
      <c r="BV12" s="28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2"/>
    </row>
    <row r="13" spans="1:242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28"/>
      <c r="BQ13" s="28"/>
      <c r="BR13" s="28"/>
      <c r="BS13" s="28"/>
      <c r="BT13" s="28"/>
      <c r="BU13" s="28"/>
      <c r="BV13" s="28"/>
      <c r="BW13" s="28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2"/>
    </row>
    <row r="14" spans="1:242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28"/>
      <c r="BQ14" s="28"/>
      <c r="BR14" s="28"/>
      <c r="BS14" s="28"/>
      <c r="BT14" s="28"/>
      <c r="BU14" s="28"/>
      <c r="BV14" s="28"/>
      <c r="BW14" s="28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2"/>
    </row>
    <row r="15" spans="1:242" ht="4.9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28"/>
      <c r="BQ15" s="28"/>
      <c r="BR15" s="28"/>
      <c r="BS15" s="28"/>
      <c r="BT15" s="28"/>
      <c r="BU15" s="28"/>
      <c r="BV15" s="28"/>
      <c r="BW15" s="28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2"/>
    </row>
    <row r="16" spans="1:242" ht="4.9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28"/>
      <c r="BQ16" s="28"/>
      <c r="BR16" s="28"/>
      <c r="BS16" s="28"/>
      <c r="BT16" s="28"/>
      <c r="BU16" s="28"/>
      <c r="BV16" s="28"/>
      <c r="BW16" s="28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2"/>
    </row>
    <row r="17" spans="1:242" ht="4.9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28"/>
      <c r="BQ17" s="28"/>
      <c r="BR17" s="28"/>
      <c r="BS17" s="28"/>
      <c r="BT17" s="28"/>
      <c r="BU17" s="28"/>
      <c r="BV17" s="28"/>
      <c r="BW17" s="28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2"/>
    </row>
    <row r="18" spans="1:242" ht="4.9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28"/>
      <c r="BQ18" s="28"/>
      <c r="BR18" s="28"/>
      <c r="BS18" s="28"/>
      <c r="BT18" s="28"/>
      <c r="BU18" s="28"/>
      <c r="BV18" s="28"/>
      <c r="BW18" s="28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2"/>
    </row>
    <row r="19" spans="1:242" ht="4.9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28"/>
      <c r="BQ19" s="28"/>
      <c r="BR19" s="28"/>
      <c r="BS19" s="28"/>
      <c r="BT19" s="28"/>
      <c r="BU19" s="28"/>
      <c r="BV19" s="28"/>
      <c r="BW19" s="28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2"/>
    </row>
    <row r="20" spans="1:242" ht="4.9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28"/>
      <c r="BQ20" s="28"/>
      <c r="BR20" s="28"/>
      <c r="BS20" s="28"/>
      <c r="BT20" s="28"/>
      <c r="BU20" s="28"/>
      <c r="BV20" s="28"/>
      <c r="BW20" s="28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2"/>
    </row>
    <row r="21" spans="1:242" ht="4.9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28"/>
      <c r="BR21" s="28"/>
      <c r="BS21" s="28"/>
      <c r="BT21" s="28"/>
      <c r="BU21" s="28"/>
      <c r="BV21" s="28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2"/>
    </row>
    <row r="22" spans="1:242" ht="4.9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28"/>
      <c r="BJ22" s="28"/>
      <c r="BK22" s="1"/>
      <c r="BL22" s="1"/>
      <c r="BM22" s="1"/>
      <c r="BN22" s="1"/>
      <c r="BO22" s="1"/>
      <c r="BP22" s="1"/>
      <c r="BQ22" s="28"/>
      <c r="BR22" s="28"/>
      <c r="BS22" s="28"/>
      <c r="BT22" s="28"/>
      <c r="BU22" s="28"/>
      <c r="BV22" s="28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2"/>
    </row>
    <row r="23" spans="1:242" ht="4.9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28"/>
      <c r="BI23" s="28"/>
      <c r="BJ23" s="28"/>
      <c r="BK23" s="28"/>
      <c r="BL23" s="1"/>
      <c r="BM23" s="1"/>
      <c r="BN23" s="1"/>
      <c r="BO23" s="1"/>
      <c r="BP23" s="1"/>
      <c r="BQ23" s="28"/>
      <c r="BR23" s="28"/>
      <c r="BS23" s="28"/>
      <c r="BT23" s="28"/>
      <c r="BU23" s="28"/>
      <c r="BV23" s="28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2"/>
    </row>
    <row r="24" spans="1:24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28"/>
      <c r="BI24" s="28"/>
      <c r="BJ24" s="28"/>
      <c r="BK24" s="28"/>
      <c r="BL24" s="1"/>
      <c r="BM24" s="1"/>
      <c r="BN24" s="1"/>
      <c r="BO24" s="1"/>
      <c r="BP24" s="1"/>
      <c r="BQ24" s="1"/>
      <c r="BR24" s="28"/>
      <c r="BS24" s="28"/>
      <c r="BT24" s="28"/>
      <c r="BU24" s="28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2"/>
    </row>
    <row r="25" spans="1:24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28"/>
      <c r="BH25" s="28"/>
      <c r="BI25" s="28"/>
      <c r="BJ25" s="28"/>
      <c r="BK25" s="28"/>
      <c r="BL25" s="28"/>
      <c r="BM25" s="1"/>
      <c r="BN25" s="1"/>
      <c r="BO25" s="1"/>
      <c r="BP25" s="1"/>
      <c r="BQ25" s="1"/>
      <c r="BR25" s="28"/>
      <c r="BS25" s="28"/>
      <c r="BT25" s="28"/>
      <c r="BU25" s="28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2"/>
    </row>
    <row r="26" spans="1:24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28"/>
      <c r="BH26" s="28"/>
      <c r="BI26" s="28"/>
      <c r="BJ26" s="28"/>
      <c r="BK26" s="28"/>
      <c r="BL26" s="28"/>
      <c r="BM26" s="1"/>
      <c r="BN26" s="1"/>
      <c r="BO26" s="1"/>
      <c r="BP26" s="1"/>
      <c r="BQ26" s="1"/>
      <c r="BR26" s="1"/>
      <c r="BS26" s="28"/>
      <c r="BT26" s="28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2"/>
    </row>
    <row r="27" spans="1:24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28"/>
      <c r="BH27" s="28"/>
      <c r="BI27" s="28"/>
      <c r="BJ27" s="28"/>
      <c r="BK27" s="28"/>
      <c r="BL27" s="28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2"/>
    </row>
    <row r="28" spans="1:24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28"/>
      <c r="BG28" s="28"/>
      <c r="BH28" s="28"/>
      <c r="BI28" s="28"/>
      <c r="BJ28" s="28"/>
      <c r="BK28" s="28"/>
      <c r="BL28" s="28"/>
      <c r="BM28" s="28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2"/>
    </row>
    <row r="29" spans="1:24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28"/>
      <c r="BG29" s="28"/>
      <c r="BH29" s="28"/>
      <c r="BI29" s="28"/>
      <c r="BJ29" s="28"/>
      <c r="BK29" s="28"/>
      <c r="BL29" s="28"/>
      <c r="BM29" s="28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2"/>
    </row>
    <row r="30" spans="1:24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28"/>
      <c r="BG30" s="28"/>
      <c r="BH30" s="28"/>
      <c r="BI30" s="28"/>
      <c r="BJ30" s="28"/>
      <c r="BK30" s="28"/>
      <c r="BL30" s="28"/>
      <c r="BM30" s="28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2"/>
    </row>
    <row r="31" spans="1:24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28"/>
      <c r="BG31" s="28"/>
      <c r="BH31" s="28"/>
      <c r="BI31" s="28"/>
      <c r="BJ31" s="28"/>
      <c r="BK31" s="28"/>
      <c r="BL31" s="28"/>
      <c r="BM31" s="28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2"/>
    </row>
    <row r="32" spans="1:242" ht="4.95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28"/>
      <c r="BG32" s="28"/>
      <c r="BH32" s="28"/>
      <c r="BI32" s="28"/>
      <c r="BJ32" s="28"/>
      <c r="BK32" s="28"/>
      <c r="BL32" s="28"/>
      <c r="BM32" s="28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2"/>
    </row>
    <row r="33" spans="1:242" ht="4.95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28"/>
      <c r="BG33" s="28"/>
      <c r="BH33" s="28"/>
      <c r="BI33" s="28"/>
      <c r="BJ33" s="28"/>
      <c r="BK33" s="28"/>
      <c r="BL33" s="28"/>
      <c r="BM33" s="28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2"/>
    </row>
    <row r="34" spans="1:242" ht="4.95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8"/>
      <c r="BG34" s="28"/>
      <c r="BH34" s="28"/>
      <c r="BI34" s="28"/>
      <c r="BJ34" s="28"/>
      <c r="BK34" s="28"/>
      <c r="BL34" s="28"/>
      <c r="BM34" s="28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2"/>
    </row>
    <row r="35" spans="1:242" ht="4.95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8"/>
      <c r="BG35" s="28"/>
      <c r="BH35" s="28"/>
      <c r="BI35" s="28"/>
      <c r="BJ35" s="28"/>
      <c r="BK35" s="28"/>
      <c r="BL35" s="28"/>
      <c r="BM35" s="28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2"/>
    </row>
    <row r="36" spans="1:242" ht="4.95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28"/>
      <c r="BH36" s="28"/>
      <c r="BI36" s="28"/>
      <c r="BJ36" s="28"/>
      <c r="BK36" s="28"/>
      <c r="BL36" s="28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2"/>
    </row>
    <row r="37" spans="1:242" ht="4.95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28"/>
      <c r="BH37" s="28"/>
      <c r="BI37" s="28"/>
      <c r="BJ37" s="28"/>
      <c r="BK37" s="28"/>
      <c r="BL37" s="28"/>
      <c r="BM37" s="1"/>
      <c r="BN37" s="1"/>
      <c r="BO37" s="1"/>
      <c r="BP37" s="1"/>
      <c r="BQ37" s="1"/>
      <c r="BR37" s="1"/>
      <c r="BS37" s="28"/>
      <c r="BT37" s="28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2"/>
    </row>
    <row r="38" spans="1:242" ht="4.95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8"/>
      <c r="BH38" s="28"/>
      <c r="BI38" s="28"/>
      <c r="BJ38" s="28"/>
      <c r="BK38" s="28"/>
      <c r="BL38" s="28"/>
      <c r="BM38" s="1"/>
      <c r="BN38" s="1"/>
      <c r="BO38" s="1"/>
      <c r="BP38" s="1"/>
      <c r="BQ38" s="1"/>
      <c r="BR38" s="28"/>
      <c r="BS38" s="28"/>
      <c r="BT38" s="28"/>
      <c r="BU38" s="28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2"/>
    </row>
    <row r="39" spans="1:242" ht="4.95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28"/>
      <c r="BI39" s="28"/>
      <c r="BJ39" s="28"/>
      <c r="BK39" s="28"/>
      <c r="BL39" s="1"/>
      <c r="BM39" s="1"/>
      <c r="BN39" s="1"/>
      <c r="BO39" s="1"/>
      <c r="BP39" s="1"/>
      <c r="BQ39" s="1"/>
      <c r="BR39" s="28"/>
      <c r="BS39" s="28"/>
      <c r="BT39" s="28"/>
      <c r="BU39" s="28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2"/>
    </row>
    <row r="40" spans="1:242" ht="4.95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28"/>
      <c r="BI40" s="28"/>
      <c r="BJ40" s="28"/>
      <c r="BK40" s="28"/>
      <c r="BL40" s="1"/>
      <c r="BM40" s="1"/>
      <c r="BN40" s="1"/>
      <c r="BO40" s="1"/>
      <c r="BP40" s="1"/>
      <c r="BQ40" s="28"/>
      <c r="BR40" s="28"/>
      <c r="BS40" s="28"/>
      <c r="BT40" s="28"/>
      <c r="BU40" s="28"/>
      <c r="BV40" s="28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2"/>
    </row>
    <row r="41" spans="1:242" ht="4.95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28"/>
      <c r="BJ41" s="28"/>
      <c r="BK41" s="1"/>
      <c r="BL41" s="1"/>
      <c r="BM41" s="1"/>
      <c r="BN41" s="1"/>
      <c r="BO41" s="1"/>
      <c r="BP41" s="1"/>
      <c r="BQ41" s="28"/>
      <c r="BR41" s="28"/>
      <c r="BS41" s="28"/>
      <c r="BT41" s="28"/>
      <c r="BU41" s="28"/>
      <c r="BV41" s="28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2"/>
    </row>
    <row r="42" spans="1:242" ht="4.95" customHeight="1" x14ac:dyDescent="0.3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28"/>
      <c r="BR42" s="28"/>
      <c r="BS42" s="28"/>
      <c r="BT42" s="28"/>
      <c r="BU42" s="28"/>
      <c r="BV42" s="28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2"/>
    </row>
    <row r="43" spans="1:242" ht="4.95" customHeight="1" x14ac:dyDescent="0.3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28"/>
      <c r="BQ43" s="28"/>
      <c r="BR43" s="28"/>
      <c r="BS43" s="28"/>
      <c r="BT43" s="28"/>
      <c r="BU43" s="28"/>
      <c r="BV43" s="28"/>
      <c r="BW43" s="28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2"/>
    </row>
    <row r="44" spans="1:242" ht="4.95" customHeight="1" x14ac:dyDescent="0.3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28"/>
      <c r="BQ44" s="28"/>
      <c r="BR44" s="28"/>
      <c r="BS44" s="28"/>
      <c r="BT44" s="28"/>
      <c r="BU44" s="28"/>
      <c r="BV44" s="28"/>
      <c r="BW44" s="28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2"/>
    </row>
    <row r="45" spans="1:242" ht="4.95" customHeight="1" x14ac:dyDescent="0.3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28"/>
      <c r="BQ45" s="28"/>
      <c r="BR45" s="28"/>
      <c r="BS45" s="28"/>
      <c r="BT45" s="28"/>
      <c r="BU45" s="28"/>
      <c r="BV45" s="28"/>
      <c r="BW45" s="28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2"/>
    </row>
    <row r="46" spans="1:242" ht="4.95" customHeight="1" x14ac:dyDescent="0.3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28"/>
      <c r="BQ46" s="28"/>
      <c r="BR46" s="28"/>
      <c r="BS46" s="28"/>
      <c r="BT46" s="28"/>
      <c r="BU46" s="28"/>
      <c r="BV46" s="28"/>
      <c r="BW46" s="28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2"/>
    </row>
    <row r="47" spans="1:242" ht="4.95" customHeight="1" x14ac:dyDescent="0.3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28"/>
      <c r="BQ47" s="28"/>
      <c r="BR47" s="28"/>
      <c r="BS47" s="28"/>
      <c r="BT47" s="28"/>
      <c r="BU47" s="28"/>
      <c r="BV47" s="28"/>
      <c r="BW47" s="28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2"/>
    </row>
    <row r="48" spans="1:242" ht="4.95" customHeight="1" x14ac:dyDescent="0.3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28"/>
      <c r="BQ48" s="28"/>
      <c r="BR48" s="28"/>
      <c r="BS48" s="28"/>
      <c r="BT48" s="28"/>
      <c r="BU48" s="28"/>
      <c r="BV48" s="28"/>
      <c r="BW48" s="28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2"/>
    </row>
    <row r="49" spans="1:242" ht="4.95" customHeight="1" x14ac:dyDescent="0.3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28"/>
      <c r="BQ49" s="28"/>
      <c r="BR49" s="28"/>
      <c r="BS49" s="28"/>
      <c r="BT49" s="28"/>
      <c r="BU49" s="28"/>
      <c r="BV49" s="28"/>
      <c r="BW49" s="28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2"/>
    </row>
    <row r="50" spans="1:242" ht="4.95" customHeight="1" x14ac:dyDescent="0.3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28"/>
      <c r="BQ50" s="28"/>
      <c r="BR50" s="28"/>
      <c r="BS50" s="28"/>
      <c r="BT50" s="28"/>
      <c r="BU50" s="28"/>
      <c r="BV50" s="28"/>
      <c r="BW50" s="28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2"/>
    </row>
    <row r="51" spans="1:242" ht="4.95" customHeight="1" x14ac:dyDescent="0.3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28"/>
      <c r="BR51" s="28"/>
      <c r="BS51" s="28"/>
      <c r="BT51" s="28"/>
      <c r="BU51" s="28"/>
      <c r="BV51" s="28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2"/>
    </row>
    <row r="52" spans="1:242" ht="4.95" customHeight="1" x14ac:dyDescent="0.3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28"/>
      <c r="BJ52" s="28"/>
      <c r="BK52" s="1"/>
      <c r="BL52" s="1"/>
      <c r="BM52" s="1"/>
      <c r="BN52" s="1"/>
      <c r="BO52" s="1"/>
      <c r="BP52" s="1"/>
      <c r="BQ52" s="28"/>
      <c r="BR52" s="28"/>
      <c r="BS52" s="28"/>
      <c r="BT52" s="28"/>
      <c r="BU52" s="28"/>
      <c r="BV52" s="28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2"/>
    </row>
    <row r="53" spans="1:242" ht="4.95" customHeight="1" x14ac:dyDescent="0.3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28"/>
      <c r="BI53" s="28"/>
      <c r="BJ53" s="28"/>
      <c r="BK53" s="28"/>
      <c r="BL53" s="1"/>
      <c r="BM53" s="1"/>
      <c r="BN53" s="1"/>
      <c r="BO53" s="1"/>
      <c r="BP53" s="1"/>
      <c r="BQ53" s="28"/>
      <c r="BR53" s="28"/>
      <c r="BS53" s="28"/>
      <c r="BT53" s="28"/>
      <c r="BU53" s="28"/>
      <c r="BV53" s="28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2"/>
    </row>
    <row r="54" spans="1:242" ht="4.95" customHeight="1" x14ac:dyDescent="0.3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28"/>
      <c r="BI54" s="28"/>
      <c r="BJ54" s="28"/>
      <c r="BK54" s="28"/>
      <c r="BL54" s="1"/>
      <c r="BM54" s="1"/>
      <c r="BN54" s="1"/>
      <c r="BO54" s="1"/>
      <c r="BP54" s="1"/>
      <c r="BQ54" s="1"/>
      <c r="BR54" s="28"/>
      <c r="BS54" s="28"/>
      <c r="BT54" s="28"/>
      <c r="BU54" s="28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2"/>
    </row>
    <row r="55" spans="1:242" ht="4.95" customHeight="1" x14ac:dyDescent="0.3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28"/>
      <c r="BH55" s="28"/>
      <c r="BI55" s="28"/>
      <c r="BJ55" s="28"/>
      <c r="BK55" s="28"/>
      <c r="BL55" s="28"/>
      <c r="BM55" s="1"/>
      <c r="BN55" s="1"/>
      <c r="BO55" s="1"/>
      <c r="BP55" s="1"/>
      <c r="BQ55" s="1"/>
      <c r="BR55" s="28"/>
      <c r="BS55" s="28"/>
      <c r="BT55" s="28"/>
      <c r="BU55" s="28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2"/>
    </row>
    <row r="56" spans="1:242" ht="4.95" customHeight="1" x14ac:dyDescent="0.3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28"/>
      <c r="BH56" s="28"/>
      <c r="BI56" s="28"/>
      <c r="BJ56" s="28"/>
      <c r="BK56" s="28"/>
      <c r="BL56" s="28"/>
      <c r="BM56" s="1"/>
      <c r="BN56" s="1"/>
      <c r="BO56" s="1"/>
      <c r="BP56" s="1"/>
      <c r="BQ56" s="1"/>
      <c r="BR56" s="1"/>
      <c r="BS56" s="28"/>
      <c r="BT56" s="28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2"/>
    </row>
    <row r="57" spans="1:242" ht="4.95" customHeight="1" x14ac:dyDescent="0.3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28"/>
      <c r="BH57" s="28"/>
      <c r="BI57" s="28"/>
      <c r="BJ57" s="28"/>
      <c r="BK57" s="28"/>
      <c r="BL57" s="28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2"/>
    </row>
    <row r="58" spans="1:242" ht="4.95" customHeight="1" x14ac:dyDescent="0.3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28"/>
      <c r="BG58" s="28"/>
      <c r="BH58" s="28"/>
      <c r="BI58" s="28"/>
      <c r="BJ58" s="28"/>
      <c r="BK58" s="28"/>
      <c r="BL58" s="28"/>
      <c r="BM58" s="28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2"/>
    </row>
    <row r="59" spans="1:242" ht="4.95" customHeight="1" x14ac:dyDescent="0.3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28"/>
      <c r="BG59" s="28"/>
      <c r="BH59" s="28"/>
      <c r="BI59" s="28"/>
      <c r="BJ59" s="28"/>
      <c r="BK59" s="28"/>
      <c r="BL59" s="28"/>
      <c r="BM59" s="28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2"/>
    </row>
    <row r="60" spans="1:242" ht="4.95" customHeight="1" x14ac:dyDescent="0.3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28"/>
      <c r="BG60" s="28"/>
      <c r="BH60" s="28"/>
      <c r="BI60" s="28"/>
      <c r="BJ60" s="28"/>
      <c r="BK60" s="28"/>
      <c r="BL60" s="28"/>
      <c r="BM60" s="28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2"/>
    </row>
    <row r="61" spans="1:242" ht="4.95" customHeight="1" x14ac:dyDescent="0.3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28"/>
      <c r="BG61" s="28"/>
      <c r="BH61" s="28"/>
      <c r="BI61" s="28"/>
      <c r="BJ61" s="28"/>
      <c r="BK61" s="28"/>
      <c r="BL61" s="28"/>
      <c r="BM61" s="28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2"/>
    </row>
    <row r="62" spans="1:242" ht="4.95" customHeight="1" x14ac:dyDescent="0.3">
      <c r="A62" s="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N22" sqref="N22"/>
    </sheetView>
  </sheetViews>
  <sheetFormatPr defaultRowHeight="14.4" x14ac:dyDescent="0.3"/>
  <cols>
    <col min="1" max="1" width="8.88671875" customWidth="1"/>
    <col min="2" max="2" width="12.109375" customWidth="1"/>
    <col min="4" max="4" width="10.88671875" customWidth="1"/>
    <col min="10" max="10" width="18" customWidth="1"/>
    <col min="11" max="11" width="9.5546875" bestFit="1" customWidth="1"/>
    <col min="12" max="12" width="12.332031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3">
      <c r="B3" t="s">
        <v>0</v>
      </c>
      <c r="C3" s="10">
        <v>0.45</v>
      </c>
      <c r="D3" s="21" t="s">
        <v>11</v>
      </c>
      <c r="E3" s="21"/>
      <c r="F3" s="21" t="s">
        <v>44</v>
      </c>
      <c r="G3" s="8">
        <v>293</v>
      </c>
      <c r="H3" s="21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31">
        <v>4.4999999999999998E-2</v>
      </c>
      <c r="D4" s="21" t="s">
        <v>11</v>
      </c>
      <c r="E4" s="21"/>
      <c r="F4" s="21" t="s">
        <v>45</v>
      </c>
      <c r="G4" s="8">
        <v>333</v>
      </c>
      <c r="H4" s="21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0.25</v>
      </c>
      <c r="D5" s="23"/>
      <c r="E5" s="21"/>
      <c r="F5" s="21" t="s">
        <v>29</v>
      </c>
      <c r="G5" s="8">
        <v>2</v>
      </c>
      <c r="H5" s="21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240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3">
      <c r="B7" t="s">
        <v>3</v>
      </c>
      <c r="C7" s="8">
        <v>60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3">
      <c r="C8" s="24" t="b">
        <v>0</v>
      </c>
      <c r="D8" s="21"/>
      <c r="E8" s="21"/>
      <c r="F8" s="21"/>
      <c r="G8" s="21"/>
      <c r="H8" s="21"/>
    </row>
    <row r="9" spans="2:13" x14ac:dyDescent="0.3">
      <c r="C9" s="21"/>
      <c r="D9" s="21"/>
      <c r="E9" s="21"/>
      <c r="F9" s="21"/>
      <c r="G9" s="21"/>
      <c r="H9" s="21"/>
    </row>
    <row r="10" spans="2:13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3">
      <c r="C12" s="21"/>
      <c r="D12" s="21"/>
      <c r="E12" s="21"/>
      <c r="F12" s="21"/>
      <c r="G12" s="21"/>
      <c r="H12" s="21"/>
    </row>
    <row r="13" spans="2:13" x14ac:dyDescent="0.3">
      <c r="B13" t="s">
        <v>9</v>
      </c>
      <c r="C13" s="8">
        <v>100</v>
      </c>
      <c r="D13" s="21"/>
      <c r="E13" s="21"/>
      <c r="F13" s="25" t="s">
        <v>7</v>
      </c>
      <c r="G13" s="30" t="s">
        <v>8</v>
      </c>
      <c r="H13" s="30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1"/>
      <c r="E16" s="21"/>
      <c r="F16" s="21" t="s">
        <v>5</v>
      </c>
      <c r="G16" s="8">
        <v>0.3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3">
      <c r="B19" t="s">
        <v>18</v>
      </c>
      <c r="C19" s="8">
        <v>1</v>
      </c>
      <c r="D19" s="21"/>
      <c r="E19" s="21"/>
      <c r="F19" s="23" t="s">
        <v>26</v>
      </c>
      <c r="G19" s="8">
        <v>5.0000000000000001E-4</v>
      </c>
      <c r="H19" s="23"/>
    </row>
    <row r="20" spans="2:12" x14ac:dyDescent="0.3">
      <c r="C20" s="21"/>
      <c r="D20" s="21"/>
      <c r="E20" s="21"/>
      <c r="F20" s="23" t="s">
        <v>60</v>
      </c>
      <c r="G20" s="8">
        <v>0.1</v>
      </c>
      <c r="H20" s="21"/>
    </row>
    <row r="21" spans="2:12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x14ac:dyDescent="0.3">
      <c r="C23" s="21"/>
      <c r="D23" s="21"/>
      <c r="E23" s="21"/>
      <c r="F23" s="21" t="s">
        <v>49</v>
      </c>
      <c r="G23" s="21"/>
      <c r="H23" s="21" t="s">
        <v>51</v>
      </c>
      <c r="K23" s="32" t="b">
        <v>0</v>
      </c>
    </row>
    <row r="24" spans="2:12" x14ac:dyDescent="0.3">
      <c r="B24" t="s">
        <v>50</v>
      </c>
      <c r="C24" s="8" t="s">
        <v>63</v>
      </c>
      <c r="E24" t="s">
        <v>54</v>
      </c>
      <c r="F24" s="9">
        <f>0.25*C$27</f>
        <v>0.1125</v>
      </c>
      <c r="H24" s="9">
        <f>F24+IF(C24="Square",C31,SQRT(C31^2 - (C31/2)^2))</f>
        <v>0.13198557158514987</v>
      </c>
      <c r="J24" t="s">
        <v>64</v>
      </c>
      <c r="K24" s="33">
        <f>K14*G5*C4/K15</f>
        <v>4499.9999999999991</v>
      </c>
      <c r="L24" s="16"/>
    </row>
    <row r="25" spans="2:12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1.125E-2</v>
      </c>
      <c r="J25" t="s">
        <v>62</v>
      </c>
      <c r="K25" s="33">
        <f>G19*G5/(C3/C6)</f>
        <v>0.53333333333333333</v>
      </c>
    </row>
    <row r="26" spans="2:12" x14ac:dyDescent="0.3">
      <c r="F26" s="26"/>
      <c r="G26" s="26"/>
      <c r="H26" s="26"/>
    </row>
    <row r="27" spans="2:12" ht="14.4" customHeight="1" x14ac:dyDescent="0.3">
      <c r="B27" t="s">
        <v>0</v>
      </c>
      <c r="C27" s="27">
        <f>C3</f>
        <v>0.45</v>
      </c>
      <c r="D27" t="s">
        <v>11</v>
      </c>
      <c r="E27" t="s">
        <v>54</v>
      </c>
      <c r="F27" s="9">
        <f>0.25*C$27</f>
        <v>0.1125</v>
      </c>
      <c r="H27" s="9">
        <f>H24</f>
        <v>0.13198557158514987</v>
      </c>
      <c r="K27" s="29"/>
    </row>
    <row r="28" spans="2:12" x14ac:dyDescent="0.3">
      <c r="B28" t="s">
        <v>1</v>
      </c>
      <c r="C28" s="27">
        <f>C4</f>
        <v>4.4999999999999998E-2</v>
      </c>
      <c r="D28" t="s">
        <v>11</v>
      </c>
      <c r="E28" t="s">
        <v>55</v>
      </c>
      <c r="F28" s="9">
        <f>C31</f>
        <v>2.2499999999999999E-2</v>
      </c>
      <c r="H28" s="9">
        <f>H25+C31</f>
        <v>3.3750000000000002E-2</v>
      </c>
    </row>
    <row r="30" spans="2:12" x14ac:dyDescent="0.3">
      <c r="B30" t="s">
        <v>53</v>
      </c>
      <c r="C30" s="9">
        <f>C31/C25</f>
        <v>1.4999999999999999E-2</v>
      </c>
      <c r="D30" t="s">
        <v>11</v>
      </c>
      <c r="E30" t="s">
        <v>54</v>
      </c>
      <c r="F30" s="9">
        <f>0.25*C$27</f>
        <v>0.1125</v>
      </c>
      <c r="H30" s="9" t="str">
        <f>IF(C24="Square",F30+C$31,"None")</f>
        <v>None</v>
      </c>
    </row>
    <row r="31" spans="2:12" x14ac:dyDescent="0.3">
      <c r="B31" t="s">
        <v>52</v>
      </c>
      <c r="C31" s="9">
        <f>C28/2</f>
        <v>2.2499999999999999E-2</v>
      </c>
      <c r="D31" t="s">
        <v>11</v>
      </c>
      <c r="E31" t="s">
        <v>55</v>
      </c>
      <c r="F31" s="9">
        <f>C28</f>
        <v>4.4999999999999998E-2</v>
      </c>
      <c r="H31" s="9" t="str">
        <f>IF(C24="Square",F31,"None")</f>
        <v>None</v>
      </c>
    </row>
    <row r="33" spans="2:4" x14ac:dyDescent="0.3">
      <c r="B33" t="s">
        <v>57</v>
      </c>
      <c r="C33" s="8">
        <f>C3/C6</f>
        <v>1.8750000000000001E-3</v>
      </c>
      <c r="D33" t="s">
        <v>59</v>
      </c>
    </row>
    <row r="34" spans="2:4" x14ac:dyDescent="0.3">
      <c r="B34" t="s">
        <v>58</v>
      </c>
      <c r="C34" s="8">
        <f>C4/C7</f>
        <v>7.5000000000000002E-4</v>
      </c>
      <c r="D34" t="s">
        <v>59</v>
      </c>
    </row>
  </sheetData>
  <mergeCells count="1">
    <mergeCell ref="G13:H13"/>
  </mergeCells>
  <conditionalFormatting sqref="K23">
    <cfRule type="cellIs" dxfId="4" priority="3" operator="equal">
      <formula>TRUE</formula>
    </cfRule>
  </conditionalFormatting>
  <conditionalFormatting sqref="K24">
    <cfRule type="cellIs" dxfId="3" priority="2" operator="lessThan">
      <formula>2300</formula>
    </cfRule>
  </conditionalFormatting>
  <conditionalFormatting sqref="K25">
    <cfRule type="cellIs" dxfId="2" priority="1" operator="greaterThan">
      <formula>1</formula>
    </cfRule>
  </conditionalFormatting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175260</xdr:colOff>
                    <xdr:row>21</xdr:row>
                    <xdr:rowOff>0</xdr:rowOff>
                  </from>
                  <to>
                    <xdr:col>7</xdr:col>
                    <xdr:colOff>137160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99060</xdr:colOff>
                    <xdr:row>22</xdr:row>
                    <xdr:rowOff>0</xdr:rowOff>
                  </from>
                  <to>
                    <xdr:col>9</xdr:col>
                    <xdr:colOff>960120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E26" sqref="E26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v>1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2018-04-17T07:14:35Z</dcterms:modified>
</cp:coreProperties>
</file>