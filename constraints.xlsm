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 activeTab="1"/>
  </bookViews>
  <sheets>
    <sheet name="Constraints" sheetId="1" r:id="rId1"/>
    <sheet name="Grid settings" sheetId="2" r:id="rId2"/>
    <sheet name="Fluid properties" sheetId="3" r:id="rId3"/>
  </sheets>
  <calcPr calcId="171027"/>
</workbook>
</file>

<file path=xl/calcChain.xml><?xml version="1.0" encoding="utf-8"?>
<calcChain xmlns="http://schemas.openxmlformats.org/spreadsheetml/2006/main">
  <c r="C34" i="2" l="1"/>
  <c r="C33" i="2"/>
  <c r="C28" i="2"/>
  <c r="C31" i="2" s="1"/>
  <c r="F28" i="2" s="1"/>
  <c r="C27" i="2"/>
  <c r="F27" i="2" s="1"/>
  <c r="F31" i="2" l="1"/>
  <c r="H31" i="2" s="1"/>
  <c r="F24" i="2"/>
  <c r="F30" i="2"/>
  <c r="H25" i="2"/>
  <c r="H24" i="2" l="1"/>
  <c r="C5" i="2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<sst xmlns="http://schemas.openxmlformats.org/spreadsheetml/2006/main" count="84" uniqueCount="63">
  <si>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</si>
  <si>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</si>
  <si>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</si>
  <si>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</si>
  <si>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</si>
  <si>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</si>
  <si>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</si>
  <si>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</si>
  <si>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</si>
  <si>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</si>
  <si>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</si>
  <si>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</si>
  <si>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</si>
  <si>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</si>
  <si>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</si>
  <si>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</si>
  <si>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</si>
  <si>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</si>
  <si>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</si>
  <si>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</si>
  <si>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</si>
  <si>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</si>
  <si>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</si>
  <si>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</si>
  <si>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</si>
  <si>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</si>
  <si>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</si>
  <si>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</si>
  <si>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</si>
  <si>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</si>
  <si>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</si>
  <si>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</si>
  <si>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</si>
  <si>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</si>
  <si>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</si>
  <si>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</si>
  <si>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</si>
  <si>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</si>
  <si>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</si>
  <si>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</si>
  <si>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</si>
  <si>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</si>
  <si>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</si>
  <si>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</si>
  <si>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</si>
  <si>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</si>
  <si>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</si>
  <si>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</si>
  <si>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</si>
  <si>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</si>
  <si>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</si>
  <si>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</si>
  <si>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</si>
  <si>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</si>
  <si>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</si>
  <si>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</si>
  <si>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Square</t>
  </si>
  <si>
    <t>*D</t>
  </si>
  <si>
    <t>DX</t>
  </si>
  <si>
    <t>DY</t>
  </si>
  <si>
    <t>[m / cell]</t>
  </si>
  <si>
    <t>Max time</t>
  </si>
  <si>
    <t>Debug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</si>
</sst>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2" fillId="6" borderId="3" xfId="1" applyAlignment="1">
      <alignment horizontal="center"/>
    </xf>
    <xf numFmtId="0" fontId="4" fillId="0" borderId="0" xfId="0" applyFont="1"/>
    <xf numFmtId="0" fontId="0" fillId="11" borderId="0" xfId="0" applyFill="1"/>
    <xf numFmtId="0" fontId="0" fillId="12" borderId="1" xfId="0" applyFill="1" applyBorder="1"/>
  </cellXfs>
  <cellStyles count="3">
    <cellStyle name="Berekening" xfId="2" builtinId="22"/>
    <cellStyle name="Invoer" xfId="1" builtinId="20"/>
    <cellStyle name="Standa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7620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426720</xdr:colOff>
          <xdr:row>7</xdr:row>
          <xdr:rowOff>0</xdr:rowOff>
        </xdr:from>
        <xdr:to>
          <xdr:col>8</xdr:col>
          <xdr:colOff>7620</xdr:colOff>
          <xdr:row>8</xdr:row>
          <xdr:rowOff>175260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152400</xdr:rowOff>
        </xdr:from>
        <xdr:to>
          <xdr:col>4</xdr:col>
          <xdr:colOff>0</xdr:colOff>
          <xdr:row>8</xdr:row>
          <xdr:rowOff>22860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21</xdr:row>
          <xdr:rowOff>0</xdr:rowOff>
        </xdr:from>
        <xdr:to>
          <xdr:col>7</xdr:col>
          <xdr:colOff>137160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91440</xdr:colOff>
          <xdr:row>21</xdr:row>
          <xdr:rowOff>228600</xdr:rowOff>
        </xdr:from>
        <xdr:to>
          <xdr:col>9</xdr:col>
          <xdr:colOff>960120</xdr:colOff>
          <xdr:row>23</xdr:row>
          <xdr:rowOff>22860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F2CB543D-C73F-4FFA-BB64-D5596C69D5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AP42"/>
  <sheetViews>
    <sheetView zoomScale="88" zoomScaleNormal="88" workbookViewId="0">
      <selection activeCell="N23" sqref="N23"/>
    </sheetView>
  </sheetViews>
  <sheetFormatPr defaultRowHeight="14.4" x14ac:dyDescent="0.3"/>
  <cols>
    <col min="1" max="42" width="5.5546875" customWidth="1"/>
  </cols>
  <sheetData>
    <row r="1" spans="1:42" ht="5.55" customHeight="1" x14ac:dyDescent="0.3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2"/>
    </row>
    <row r="2" spans="1:42" ht="5.55" customHeight="1" x14ac:dyDescent="0.3">
      <c r="A2" s="2"/>
      <c r="B2" s="1"/>
      <c r="C2" s="1"/>
      <c r="D2" s="1"/>
      <c r="E2" s="31"/>
      <c r="F2" s="31"/>
      <c r="G2" s="31"/>
      <c r="H2" s="31"/>
      <c r="I2" s="31"/>
      <c r="J2" s="31"/>
      <c r="K2" s="31"/>
      <c r="L2" s="1"/>
      <c r="M2" s="1"/>
      <c r="N2" s="1"/>
      <c r="O2" s="1"/>
      <c r="P2" s="7"/>
      <c r="Q2" s="6"/>
      <c r="R2" s="6"/>
      <c r="S2" s="6"/>
      <c r="T2" s="7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2"/>
    </row>
    <row r="3" spans="1:42" ht="5.55" customHeight="1" x14ac:dyDescent="0.3">
      <c r="A3" s="2"/>
      <c r="B3" s="1"/>
      <c r="C3" s="1"/>
      <c r="D3" s="1"/>
      <c r="E3" s="31"/>
      <c r="F3" s="31"/>
      <c r="G3" s="31"/>
      <c r="H3" s="31"/>
      <c r="I3" s="31"/>
      <c r="J3" s="31"/>
      <c r="K3" s="31"/>
      <c r="L3" s="1"/>
      <c r="M3" s="1"/>
      <c r="N3" s="1"/>
      <c r="O3" s="1"/>
      <c r="P3" s="7"/>
      <c r="Q3" s="6"/>
      <c r="R3" s="6"/>
      <c r="S3" s="6"/>
      <c r="T3" s="7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2"/>
    </row>
    <row r="4" spans="1:42" ht="5.55" customHeight="1" x14ac:dyDescent="0.3">
      <c r="A4" s="2"/>
      <c r="B4" s="1"/>
      <c r="C4" s="1"/>
      <c r="D4" s="1"/>
      <c r="E4" s="31"/>
      <c r="F4" s="31"/>
      <c r="G4" s="31"/>
      <c r="H4" s="31"/>
      <c r="I4" s="31"/>
      <c r="J4" s="31"/>
      <c r="K4" s="31"/>
      <c r="L4" s="1"/>
      <c r="M4" s="1"/>
      <c r="N4" s="1"/>
      <c r="O4" s="1"/>
      <c r="P4" s="7"/>
      <c r="Q4" s="6"/>
      <c r="R4" s="6"/>
      <c r="S4" s="6"/>
      <c r="T4" s="7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2"/>
    </row>
    <row r="5" spans="1:42" ht="5.55" customHeight="1" x14ac:dyDescent="0.3">
      <c r="A5" s="2"/>
      <c r="B5" s="1"/>
      <c r="C5" s="1"/>
      <c r="D5" s="1"/>
      <c r="E5" s="31"/>
      <c r="F5" s="31"/>
      <c r="G5" s="31"/>
      <c r="H5" s="31"/>
      <c r="I5" s="31"/>
      <c r="J5" s="31"/>
      <c r="K5" s="31"/>
      <c r="L5" s="1"/>
      <c r="M5" s="1"/>
      <c r="N5" s="1"/>
      <c r="O5" s="1"/>
      <c r="P5" s="7"/>
      <c r="Q5" s="6"/>
      <c r="R5" s="6"/>
      <c r="S5" s="6"/>
      <c r="T5" s="7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2"/>
    </row>
    <row r="6" spans="1:42" ht="5.55" customHeight="1" x14ac:dyDescent="0.3">
      <c r="A6" s="2"/>
      <c r="B6" s="1"/>
      <c r="C6" s="1"/>
      <c r="D6" s="1"/>
      <c r="E6" s="31"/>
      <c r="F6" s="1"/>
      <c r="G6" s="1"/>
      <c r="H6" s="1"/>
      <c r="I6" s="1"/>
      <c r="J6" s="1"/>
      <c r="K6" s="31"/>
      <c r="L6" s="1"/>
      <c r="M6" s="1"/>
      <c r="N6" s="1"/>
      <c r="O6" s="1"/>
      <c r="P6" s="7"/>
      <c r="Q6" s="6"/>
      <c r="R6" s="6"/>
      <c r="S6" s="6"/>
      <c r="T6" s="7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2"/>
    </row>
    <row r="7" spans="1:42" ht="5.55" customHeight="1" x14ac:dyDescent="0.3">
      <c r="A7" s="2"/>
      <c r="B7" s="1"/>
      <c r="C7" s="1"/>
      <c r="D7" s="1"/>
      <c r="E7" s="31"/>
      <c r="F7" s="1"/>
      <c r="G7" s="1"/>
      <c r="H7" s="1"/>
      <c r="I7" s="1"/>
      <c r="J7" s="1"/>
      <c r="K7" s="31"/>
      <c r="L7" s="1"/>
      <c r="M7" s="1"/>
      <c r="N7" s="1"/>
      <c r="O7" s="1"/>
      <c r="P7" s="7"/>
      <c r="Q7" s="6"/>
      <c r="R7" s="6"/>
      <c r="S7" s="6"/>
      <c r="T7" s="7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2"/>
    </row>
    <row r="8" spans="1:42" ht="5.55" customHeight="1" x14ac:dyDescent="0.3">
      <c r="A8" s="2"/>
      <c r="B8" s="1"/>
      <c r="C8" s="1"/>
      <c r="D8" s="1"/>
      <c r="E8" s="31"/>
      <c r="F8" s="1"/>
      <c r="G8" s="1"/>
      <c r="H8" s="1"/>
      <c r="I8" s="1"/>
      <c r="J8" s="1"/>
      <c r="K8" s="31"/>
      <c r="L8" s="1"/>
      <c r="M8" s="1"/>
      <c r="N8" s="1"/>
      <c r="O8" s="1"/>
      <c r="P8" s="7"/>
      <c r="Q8" s="6"/>
      <c r="R8" s="6"/>
      <c r="S8" s="6"/>
      <c r="T8" s="7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2"/>
    </row>
    <row r="9" spans="1:42" ht="5.55" customHeight="1" x14ac:dyDescent="0.3">
      <c r="A9" s="2"/>
      <c r="B9" s="1"/>
      <c r="C9" s="1"/>
      <c r="D9" s="1"/>
      <c r="E9" s="31"/>
      <c r="F9" s="1"/>
      <c r="G9" s="1"/>
      <c r="H9" s="1"/>
      <c r="I9" s="1"/>
      <c r="J9" s="1"/>
      <c r="K9" s="31"/>
      <c r="L9" s="1"/>
      <c r="M9" s="1"/>
      <c r="N9" s="1"/>
      <c r="O9" s="1"/>
      <c r="P9" s="7"/>
      <c r="Q9" s="6"/>
      <c r="R9" s="6"/>
      <c r="S9" s="6"/>
      <c r="T9" s="7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2"/>
    </row>
    <row r="10" spans="1:42" ht="5.55" customHeight="1" x14ac:dyDescent="0.3">
      <c r="A10" s="2"/>
      <c r="B10" s="1"/>
      <c r="C10" s="1"/>
      <c r="D10" s="1"/>
      <c r="E10" s="31"/>
      <c r="F10" s="1"/>
      <c r="G10" s="1"/>
      <c r="H10" s="1"/>
      <c r="I10" s="1"/>
      <c r="J10" s="1"/>
      <c r="K10" s="31"/>
      <c r="L10" s="1"/>
      <c r="M10" s="1"/>
      <c r="N10" s="1"/>
      <c r="O10" s="1"/>
      <c r="P10" s="1"/>
      <c r="Q10" s="3"/>
      <c r="R10" s="3"/>
      <c r="S10" s="3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2"/>
    </row>
    <row r="11" spans="1:42" ht="5.55" customHeight="1" x14ac:dyDescent="0.3">
      <c r="A11" s="2"/>
      <c r="B11" s="1"/>
      <c r="C11" s="1"/>
      <c r="D11" s="1"/>
      <c r="E11" s="31"/>
      <c r="F11" s="1"/>
      <c r="G11" s="1"/>
      <c r="H11" s="1"/>
      <c r="I11" s="1"/>
      <c r="J11" s="1"/>
      <c r="K11" s="3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2"/>
    </row>
    <row r="12" spans="1:42" ht="5.55" customHeight="1" x14ac:dyDescent="0.3">
      <c r="A12" s="2"/>
      <c r="B12" s="1"/>
      <c r="C12" s="1"/>
      <c r="D12" s="1"/>
      <c r="E12" s="31"/>
      <c r="F12" s="1"/>
      <c r="G12" s="1"/>
      <c r="H12" s="1"/>
      <c r="I12" s="1"/>
      <c r="J12" s="1"/>
      <c r="K12" s="3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2"/>
    </row>
    <row r="13" spans="1:42" ht="5.55" customHeight="1" x14ac:dyDescent="0.3">
      <c r="A13" s="2"/>
      <c r="B13" s="1"/>
      <c r="C13" s="1"/>
      <c r="D13" s="1"/>
      <c r="E13" s="31"/>
      <c r="F13" s="1"/>
      <c r="G13" s="1"/>
      <c r="H13" s="1"/>
      <c r="I13" s="1"/>
      <c r="J13" s="1"/>
      <c r="K13" s="3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2"/>
    </row>
    <row r="14" spans="1:42" ht="5.55" customHeight="1" x14ac:dyDescent="0.3">
      <c r="A14" s="2"/>
      <c r="B14" s="1"/>
      <c r="C14" s="1"/>
      <c r="D14" s="1"/>
      <c r="E14" s="31"/>
      <c r="F14" s="1"/>
      <c r="G14" s="1"/>
      <c r="H14" s="1"/>
      <c r="I14" s="1"/>
      <c r="J14" s="1"/>
      <c r="K14" s="3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2"/>
    </row>
    <row r="15" spans="1:42" ht="5.55" customHeight="1" x14ac:dyDescent="0.3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2"/>
    </row>
    <row r="16" spans="1:42" ht="5.55" customHeight="1" x14ac:dyDescent="0.3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2"/>
    </row>
    <row r="17" spans="1:42" ht="5.55" customHeight="1" x14ac:dyDescent="0.3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2"/>
    </row>
    <row r="18" spans="1:42" ht="5.55" customHeight="1" x14ac:dyDescent="0.3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2"/>
    </row>
    <row r="19" spans="1:42" ht="5.55" customHeight="1" x14ac:dyDescent="0.3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2"/>
    </row>
    <row r="20" spans="1:42" ht="5.55" customHeight="1" x14ac:dyDescent="0.3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2"/>
    </row>
    <row r="21" spans="1:42" ht="5.55" customHeight="1" x14ac:dyDescent="0.3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2"/>
    </row>
    <row r="22" spans="1:42" ht="5.55" customHeight="1" x14ac:dyDescent="0.3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2"/>
    </row>
    <row r="23" spans="1:42" ht="5.55" customHeight="1" x14ac:dyDescent="0.3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2"/>
    </row>
    <row r="24" spans="1:42" ht="5.55" customHeight="1" x14ac:dyDescent="0.3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2"/>
    </row>
    <row r="25" spans="1:42" ht="5.55" customHeight="1" x14ac:dyDescent="0.3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2"/>
    </row>
    <row r="26" spans="1:42" ht="5.55" customHeight="1" x14ac:dyDescent="0.3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2"/>
    </row>
    <row r="27" spans="1:42" ht="5.55" customHeight="1" x14ac:dyDescent="0.3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"/>
    </row>
    <row r="28" spans="1:42" ht="5.55" customHeight="1" x14ac:dyDescent="0.3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2"/>
    </row>
    <row r="29" spans="1:42" ht="5.55" customHeight="1" x14ac:dyDescent="0.3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2"/>
    </row>
    <row r="30" spans="1:42" ht="5.55" customHeight="1" x14ac:dyDescent="0.3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2"/>
    </row>
    <row r="31" spans="1:42" ht="5.55" customHeight="1" x14ac:dyDescent="0.3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2"/>
    </row>
    <row r="32" spans="1:42" ht="5.55" customHeight="1" x14ac:dyDescent="0.3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2"/>
    </row>
    <row r="33" spans="1:42" ht="5.55" customHeight="1" x14ac:dyDescent="0.3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3"/>
      <c r="R33" s="3"/>
      <c r="S33" s="3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2"/>
    </row>
    <row r="34" spans="1:42" ht="5.55" customHeight="1" x14ac:dyDescent="0.3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7"/>
      <c r="Q34" s="6"/>
      <c r="R34" s="6"/>
      <c r="S34" s="6"/>
      <c r="T34" s="7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2"/>
    </row>
    <row r="35" spans="1:42" ht="5.55" customHeight="1" x14ac:dyDescent="0.3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7"/>
      <c r="Q35" s="6"/>
      <c r="R35" s="6"/>
      <c r="S35" s="6"/>
      <c r="T35" s="7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2"/>
    </row>
    <row r="36" spans="1:42" ht="5.55" customHeight="1" x14ac:dyDescent="0.3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7"/>
      <c r="Q36" s="6"/>
      <c r="R36" s="6"/>
      <c r="S36" s="6"/>
      <c r="T36" s="7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2"/>
    </row>
    <row r="37" spans="1:42" ht="5.55" customHeight="1" x14ac:dyDescent="0.3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7"/>
      <c r="Q37" s="6"/>
      <c r="R37" s="6"/>
      <c r="S37" s="6"/>
      <c r="T37" s="7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2"/>
    </row>
    <row r="38" spans="1:42" ht="5.55" customHeight="1" x14ac:dyDescent="0.3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7"/>
      <c r="Q38" s="6"/>
      <c r="R38" s="6"/>
      <c r="S38" s="6"/>
      <c r="T38" s="7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2"/>
    </row>
    <row r="39" spans="1:42" ht="5.55" customHeight="1" x14ac:dyDescent="0.3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7"/>
      <c r="Q39" s="6"/>
      <c r="R39" s="6"/>
      <c r="S39" s="6"/>
      <c r="T39" s="7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2"/>
    </row>
    <row r="40" spans="1:42" ht="5.55" customHeight="1" x14ac:dyDescent="0.3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7"/>
      <c r="Q40" s="6"/>
      <c r="R40" s="6"/>
      <c r="S40" s="6"/>
      <c r="T40" s="7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2"/>
    </row>
    <row r="41" spans="1:42" ht="5.55" customHeight="1" x14ac:dyDescent="0.3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7"/>
      <c r="Q41" s="6"/>
      <c r="R41" s="6"/>
      <c r="S41" s="6"/>
      <c r="T41" s="7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2"/>
    </row>
    <row r="42" spans="1:42" ht="5.55" customHeight="1" x14ac:dyDescent="0.3">
      <c r="A42" s="2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tabSelected="1" workbookViewId="0">
      <selection activeCell="F16" sqref="F16"/>
    </sheetView>
  </sheetViews>
  <sheetFormatPr defaultRowHeight="14.4" x14ac:dyDescent="0.3"/>
  <cols>
    <col min="1" max="1" width="8.88671875" customWidth="1"/>
    <col min="2" max="2" width="12.109375" customWidth="1"/>
    <col min="4" max="4" width="10.88671875" customWidth="1"/>
    <col min="10" max="10" width="18" customWidth="1"/>
    <col min="12" max="12" width="12.332031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x14ac:dyDescent="0.3">
      <c r="B3" t="s">
        <v>0</v>
      </c>
      <c r="C3" s="10">
        <v>0.5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x14ac:dyDescent="0.3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320</v>
      </c>
      <c r="H4" s="21" t="s">
        <v>12</v>
      </c>
      <c r="J4" s="13"/>
      <c r="K4" t="s">
        <v>46</v>
      </c>
      <c r="M4">
        <v>10</v>
      </c>
    </row>
    <row r="5" spans="2:13" x14ac:dyDescent="0.3">
      <c r="B5" s="14" t="s">
        <v>41</v>
      </c>
      <c r="C5" s="9">
        <f>C7/C6</f>
        <v>1</v>
      </c>
      <c r="D5" s="23"/>
      <c r="E5" s="21"/>
      <c r="F5" s="21" t="s">
        <v>29</v>
      </c>
      <c r="G5" s="8">
        <v>0.1</v>
      </c>
      <c r="H5" s="21" t="s">
        <v>13</v>
      </c>
      <c r="J5" s="3"/>
      <c r="K5" t="s">
        <v>22</v>
      </c>
      <c r="M5">
        <v>44</v>
      </c>
    </row>
    <row r="6" spans="2:13" x14ac:dyDescent="0.3">
      <c r="B6" t="s">
        <v>2</v>
      </c>
      <c r="C6" s="8">
        <v>40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x14ac:dyDescent="0.3">
      <c r="B7" t="s">
        <v>3</v>
      </c>
      <c r="C7" s="8">
        <v>40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x14ac:dyDescent="0.3">
      <c r="C8" s="24" t="b">
        <v>0</v>
      </c>
      <c r="D8" s="21"/>
      <c r="E8" s="21"/>
      <c r="F8" s="21"/>
      <c r="G8" s="21"/>
      <c r="H8" s="21"/>
    </row>
    <row r="9" spans="2:13" x14ac:dyDescent="0.3">
      <c r="C9" s="21"/>
      <c r="D9" s="21"/>
      <c r="E9" s="21"/>
      <c r="F9" s="21"/>
      <c r="G9" s="21"/>
      <c r="H9" s="21"/>
    </row>
    <row r="10" spans="2:13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x14ac:dyDescent="0.3">
      <c r="C12" s="21"/>
      <c r="D12" s="21"/>
      <c r="E12" s="21"/>
      <c r="F12" s="21"/>
      <c r="G12" s="21"/>
      <c r="H12" s="21"/>
    </row>
    <row r="13" spans="2:13" x14ac:dyDescent="0.3">
      <c r="B13" t="s">
        <v>9</v>
      </c>
      <c r="C13" s="8">
        <v>100</v>
      </c>
      <c r="D13" s="21"/>
      <c r="E13" s="21"/>
      <c r="F13" s="25" t="s">
        <v>7</v>
      </c>
      <c r="G13" s="28" t="s">
        <v>8</v>
      </c>
      <c r="H13" s="28"/>
      <c r="J13" t="s">
        <v>30</v>
      </c>
      <c r="K13" s="17" t="s">
        <v>31</v>
      </c>
      <c r="L13" s="16"/>
    </row>
    <row r="14" spans="2:13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x14ac:dyDescent="0.3">
      <c r="B16" t="s">
        <v>16</v>
      </c>
      <c r="C16" s="8">
        <v>30</v>
      </c>
      <c r="D16" s="21"/>
      <c r="E16" s="21"/>
      <c r="F16" s="21" t="s">
        <v>5</v>
      </c>
      <c r="G16" s="8">
        <v>0.1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x14ac:dyDescent="0.3">
      <c r="B19" t="s">
        <v>18</v>
      </c>
      <c r="C19" s="8">
        <v>1</v>
      </c>
      <c r="D19" s="21"/>
      <c r="E19" s="21"/>
      <c r="F19" s="23" t="s">
        <v>26</v>
      </c>
      <c r="G19" s="8">
        <v>0.01</v>
      </c>
      <c r="H19" s="23"/>
    </row>
    <row r="20" spans="2:12" x14ac:dyDescent="0.3">
      <c r="C20" s="21"/>
      <c r="D20" s="21"/>
      <c r="E20" s="21"/>
      <c r="F20" s="23" t="s">
        <v>61</v>
      </c>
      <c r="G20" s="8">
        <v>0.01</v>
      </c>
      <c r="H20" s="21"/>
    </row>
    <row r="21" spans="2:12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62</v>
      </c>
      <c r="K22" s="5"/>
      <c r="L22" s="5"/>
    </row>
    <row r="23" spans="2:12" x14ac:dyDescent="0.3">
      <c r="C23" s="21"/>
      <c r="D23" s="21"/>
      <c r="E23" s="21"/>
      <c r="F23" s="21" t="s">
        <v>49</v>
      </c>
      <c r="G23" s="21"/>
      <c r="H23" s="21" t="s">
        <v>51</v>
      </c>
      <c r="K23" s="30" t="b">
        <v>0</v>
      </c>
    </row>
    <row r="24" spans="2:12" x14ac:dyDescent="0.3">
      <c r="B24" t="s">
        <v>50</v>
      </c>
      <c r="C24" s="8" t="s">
        <v>56</v>
      </c>
      <c r="E24" t="s">
        <v>54</v>
      </c>
      <c r="F24" s="9">
        <f>0.25*C$27</f>
        <v>0.125</v>
      </c>
      <c r="H24" s="9">
        <f>F24+IF(C24="Square",C31,SQRT(C31^2 - (C31/2)^2))</f>
        <v>0.22500000000000001</v>
      </c>
      <c r="J24" s="29" t="b">
        <v>0</v>
      </c>
      <c r="L24" s="16"/>
    </row>
    <row r="25" spans="2:12" x14ac:dyDescent="0.3">
      <c r="B25" t="s">
        <v>52</v>
      </c>
      <c r="C25" s="8">
        <v>1.5</v>
      </c>
      <c r="D25" t="s">
        <v>57</v>
      </c>
      <c r="E25" t="s">
        <v>55</v>
      </c>
      <c r="F25" s="9">
        <v>0</v>
      </c>
      <c r="G25" s="23"/>
      <c r="H25" s="9">
        <f>IF(C24="Square",F25,C31/2)</f>
        <v>0</v>
      </c>
      <c r="K25" s="15"/>
    </row>
    <row r="26" spans="2:12" x14ac:dyDescent="0.3">
      <c r="F26" s="26"/>
      <c r="G26" s="26"/>
      <c r="H26" s="26"/>
      <c r="K26" s="15"/>
    </row>
    <row r="27" spans="2:12" x14ac:dyDescent="0.3">
      <c r="B27" t="s">
        <v>0</v>
      </c>
      <c r="C27" s="27">
        <f>C3</f>
        <v>0.5</v>
      </c>
      <c r="D27" t="s">
        <v>11</v>
      </c>
      <c r="E27" t="s">
        <v>54</v>
      </c>
      <c r="F27" s="9">
        <f>0.25*C$27</f>
        <v>0.125</v>
      </c>
      <c r="H27" s="9">
        <f>H24</f>
        <v>0.22500000000000001</v>
      </c>
    </row>
    <row r="28" spans="2:12" x14ac:dyDescent="0.3">
      <c r="B28" t="s">
        <v>1</v>
      </c>
      <c r="C28" s="27">
        <f>C4</f>
        <v>0.2</v>
      </c>
      <c r="D28" t="s">
        <v>11</v>
      </c>
      <c r="E28" t="s">
        <v>55</v>
      </c>
      <c r="F28" s="9">
        <f>C31</f>
        <v>0.1</v>
      </c>
      <c r="H28" s="9">
        <f>H25+C31</f>
        <v>0.1</v>
      </c>
    </row>
    <row r="30" spans="2:12" x14ac:dyDescent="0.3">
      <c r="B30" t="s">
        <v>53</v>
      </c>
      <c r="C30" s="9">
        <f>C31/C25</f>
        <v>6.6666666666666666E-2</v>
      </c>
      <c r="D30" t="s">
        <v>11</v>
      </c>
      <c r="E30" t="s">
        <v>54</v>
      </c>
      <c r="F30" s="9">
        <f>0.25*C$27</f>
        <v>0.125</v>
      </c>
      <c r="H30" s="9">
        <f>IF(C24="Square",F30+C$31,"None")</f>
        <v>0.22500000000000001</v>
      </c>
    </row>
    <row r="31" spans="2:12" x14ac:dyDescent="0.3">
      <c r="B31" t="s">
        <v>52</v>
      </c>
      <c r="C31" s="9">
        <f>C28/2</f>
        <v>0.1</v>
      </c>
      <c r="D31" t="s">
        <v>11</v>
      </c>
      <c r="E31" t="s">
        <v>55</v>
      </c>
      <c r="F31" s="9">
        <f>C28</f>
        <v>0.2</v>
      </c>
      <c r="H31" s="9">
        <f>IF(C24="Square",F31,"None")</f>
        <v>0.2</v>
      </c>
    </row>
    <row r="33" spans="2:4" x14ac:dyDescent="0.3">
      <c r="B33" t="s">
        <v>58</v>
      </c>
      <c r="C33" s="8">
        <f>C3/C6</f>
        <v>1.2500000000000001E-2</v>
      </c>
      <c r="D33" t="s">
        <v>60</v>
      </c>
    </row>
    <row r="34" spans="2:4" x14ac:dyDescent="0.3">
      <c r="B34" t="s">
        <v>59</v>
      </c>
      <c r="C34" s="8">
        <f>C4/C7</f>
        <v>5.0000000000000001E-3</v>
      </c>
      <c r="D34" t="s">
        <v>60</v>
      </c>
    </row>
  </sheetData>
  <mergeCells count="1">
    <mergeCell ref="G13:H13"/>
  </mergeCells>
  <conditionalFormatting sqref="K23">
    <cfRule type="cellIs" dxfId="0" priority="1" operator="equal">
      <formula>TRUE</formula>
    </cfRule>
  </conditionalFormatting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7620</xdr:rowOff>
                  </from>
                  <to>
                    <xdr:col>4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426720</xdr:colOff>
                    <xdr:row>7</xdr:row>
                    <xdr:rowOff>0</xdr:rowOff>
                  </from>
                  <to>
                    <xdr:col>8</xdr:col>
                    <xdr:colOff>7620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22860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175260</xdr:colOff>
                    <xdr:row>21</xdr:row>
                    <xdr:rowOff>0</xdr:rowOff>
                  </from>
                  <to>
                    <xdr:col>7</xdr:col>
                    <xdr:colOff>137160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Check Box 12">
              <controlPr defaultSize="0" autoFill="0" autoLine="0" autoPict="0">
                <anchor moveWithCells="1">
                  <from>
                    <xdr:col>9</xdr:col>
                    <xdr:colOff>91440</xdr:colOff>
                    <xdr:row>21</xdr:row>
                    <xdr:rowOff>228600</xdr:rowOff>
                  </from>
                  <to>
                    <xdr:col>9</xdr:col>
                    <xdr:colOff>960120</xdr:colOff>
                    <xdr:row>23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G19" sqref="G19"/>
    </sheetView>
  </sheetViews>
  <sheetFormatPr defaultRowHeight="14.4" x14ac:dyDescent="0.3"/>
  <cols>
    <col min="1" max="1" width="17.6640625" customWidth="1"/>
  </cols>
  <sheetData>
    <row r="1" spans="1:3" ht="18.600000000000001" thickBot="1" x14ac:dyDescent="0.4">
      <c r="A1" s="4" t="s">
        <v>27</v>
      </c>
      <c r="B1" s="5"/>
      <c r="C1" s="5"/>
    </row>
    <row r="3" spans="1:3" x14ac:dyDescent="0.3">
      <c r="A3" t="s">
        <v>30</v>
      </c>
      <c r="B3" t="s">
        <v>31</v>
      </c>
      <c r="C3" t="s">
        <v>32</v>
      </c>
    </row>
    <row r="4" spans="1:3" x14ac:dyDescent="0.3">
      <c r="A4" t="s">
        <v>33</v>
      </c>
      <c r="B4">
        <v>1</v>
      </c>
      <c r="C4">
        <v>1000</v>
      </c>
    </row>
    <row r="5" spans="1:3" x14ac:dyDescent="0.3">
      <c r="A5" t="s">
        <v>34</v>
      </c>
      <c r="B5" s="15">
        <v>2.0000000000000002E-5</v>
      </c>
      <c r="C5" s="15">
        <v>1E-3</v>
      </c>
    </row>
    <row r="6" spans="1:3" x14ac:dyDescent="0.3">
      <c r="A6" t="s">
        <v>37</v>
      </c>
      <c r="B6">
        <v>1013</v>
      </c>
      <c r="C6">
        <v>4200</v>
      </c>
    </row>
    <row r="7" spans="1:3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2018-04-13T13:26:20Z</dcterms:modified>
</cp:coreProperties>
</file>