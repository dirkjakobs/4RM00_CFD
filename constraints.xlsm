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11925" windowHeight="10065" activeTab="1"/>
  </bookViews>
  <sheets>
    <sheet name="Constraints" sheetId="1" r:id="rId1"/>
    <sheet name="Grid settings" sheetId="2" r:id="rId2"/>
    <sheet name="Fluid properties" sheetId="3" r:id="rId3"/>
    <sheet name="Analytical Calc" sheetId="4" r:id="rId4"/>
  </sheets>
  <definedNames>
    <definedName name="A_1">'Analytical Calc'!$D$21</definedName>
    <definedName name="A_flow">'Analytical Calc'!$D$25</definedName>
    <definedName name="Atot">'Analytical Calc'!$D$23</definedName>
    <definedName name="Do">'Grid settings'!$C$30</definedName>
    <definedName name="effectiveness">'Analytical Calc'!$D$29</definedName>
    <definedName name="factor">'Analytical Calc'!$D$7</definedName>
    <definedName name="friction">'Analytical Calc'!$D$38</definedName>
    <definedName name="hc">'Analytical Calc'!$D$20</definedName>
    <definedName name="m_flow">'Analytical Calc'!$D$27</definedName>
    <definedName name="N_rows">'Analytical Calc'!$D$11</definedName>
    <definedName name="N_tubes">'Analytical Calc'!$D$22</definedName>
    <definedName name="Ntu">'Analytical Calc'!$D$28</definedName>
    <definedName name="Nu_D">'Analytical Calc'!$D$19</definedName>
    <definedName name="Nu_D1">'Analytical Calc'!$D$18</definedName>
    <definedName name="P_L">'Analytical Calc'!$D$4</definedName>
    <definedName name="P_T">'Analytical Calc'!$D$3</definedName>
    <definedName name="phi">'Analytical Calc'!$D$10</definedName>
    <definedName name="phi_in">'Analytical Calc'!$D$8</definedName>
    <definedName name="phi_st">'Analytical Calc'!$D$9</definedName>
    <definedName name="Pitch">'Grid settings'!$C$31</definedName>
    <definedName name="Pr">'Analytical Calc'!$D$14</definedName>
    <definedName name="ReD">'Analytical Calc'!$D$13</definedName>
    <definedName name="T_obj">'Grid settings'!$G$4</definedName>
    <definedName name="T0">'Grid settings'!$G$3</definedName>
    <definedName name="Tout">'Analytical Calc'!$D$30</definedName>
    <definedName name="U_av">'Analytical Calc'!$D$12</definedName>
    <definedName name="U_in">'Grid settings'!$G$5</definedName>
    <definedName name="U_max">'Analytical Calc'!$D$36</definedName>
    <definedName name="V_flow">'Analytical Calc'!$D$26</definedName>
    <definedName name="X">'Analytical Calc'!$D$37</definedName>
    <definedName name="YMAX">'Grid settings'!$C$4</definedName>
  </definedNames>
  <calcPr calcId="145621"/>
</workbook>
</file>

<file path=xl/calcChain.xml><?xml version="1.0" encoding="utf-8"?>
<calcChain xmlns="http://schemas.openxmlformats.org/spreadsheetml/2006/main">
  <c r="D39" i="4" l="1"/>
  <c r="D12" i="4"/>
  <c r="K24" i="2" s="1"/>
  <c r="D21" i="4"/>
  <c r="D23" i="4" s="1"/>
  <c r="B4" i="3"/>
  <c r="D25" i="4"/>
  <c r="D26" i="4" s="1"/>
  <c r="D27" i="4" s="1"/>
  <c r="G35" i="4"/>
  <c r="F35" i="4"/>
  <c r="D34" i="4"/>
  <c r="D14" i="4"/>
  <c r="D4" i="4"/>
  <c r="D9" i="4" s="1"/>
  <c r="D10" i="4" s="1"/>
  <c r="D3" i="4"/>
  <c r="D6" i="4" s="1"/>
  <c r="D13" i="4" l="1"/>
  <c r="D35" i="4"/>
  <c r="D36" i="4" s="1"/>
  <c r="D15" i="4" s="1"/>
  <c r="D18" i="4" s="1"/>
  <c r="D19" i="4" s="1"/>
  <c r="D20" i="4" s="1"/>
  <c r="D28" i="4" s="1"/>
  <c r="D29" i="4" s="1"/>
  <c r="D30" i="4" s="1"/>
  <c r="D31" i="4" s="1"/>
  <c r="D5" i="4"/>
  <c r="D7" i="4" s="1"/>
  <c r="D8" i="4" s="1"/>
  <c r="K25" i="2" l="1"/>
  <c r="C34" i="2" l="1"/>
  <c r="C33" i="2"/>
  <c r="C28" i="2"/>
  <c r="C31" i="2" s="1"/>
  <c r="F28" i="2" s="1"/>
  <c r="C27" i="2"/>
  <c r="F30" i="2" l="1"/>
  <c r="F24" i="2"/>
  <c r="H24" i="2" s="1"/>
  <c r="F27" i="2"/>
  <c r="F31" i="2"/>
  <c r="H31" i="2" s="1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<sst xmlns="http://schemas.openxmlformats.org/spreadsheetml/2006/main" count="179" uniqueCount="122">
  <si>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</si>
  <si>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</si>
  <si>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</si>
  <si>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</si>
  <si>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</si>
  <si>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</si>
  <si>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</si>
  <si>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</si>
  <si>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</si>
  <si>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</si>
  <si>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</si>
  <si>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</si>
  <si>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</si>
  <si>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</si>
  <si>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</si>
  <si>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</si>
  <si>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</si>
  <si>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</si>
  <si>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</si>
  <si>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</si>
  <si>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</si>
  <si>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</si>
  <si>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</si>
  <si>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</si>
  <si>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</si>
  <si>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</si>
  <si>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</si>
  <si>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</si>
  <si>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</si>
  <si>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</si>
  <si>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</si>
  <si>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</si>
  <si>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</si>
  <si>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</si>
  <si>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</si>
  <si>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</si>
  <si>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</si>
  <si>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</si>
  <si>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</si>
  <si>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</si>
  <si>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</si>
  <si>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</si>
  <si>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</si>
  <si>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</si>
  <si>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</si>
  <si>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</si>
  <si>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</si>
  <si>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</si>
  <si>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</si>
  <si>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</si>
  <si>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</si>
  <si>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</si>
  <si>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</si>
  <si>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</si>
  <si>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</si>
  <si>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</si>
  <si>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</si>
  <si>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</si>
  <si>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</si>
  <si>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</si>
  <si>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</si>
  <si>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</si>
  <si>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</si>
  <si>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Triangular</t>
  </si>
  <si>
    <t>Re</t>
  </si>
  <si>
    <t>phi_in</t>
  </si>
  <si>
    <t>phi_st</t>
  </si>
  <si>
    <t>N_rows</t>
  </si>
  <si>
    <t>(4,118)</t>
  </si>
  <si>
    <t>Nu_D</t>
  </si>
  <si>
    <t>factor</t>
  </si>
  <si>
    <t>P_T</t>
  </si>
  <si>
    <t>P_L</t>
  </si>
  <si>
    <t>4,115a</t>
  </si>
  <si>
    <t>4,115b</t>
  </si>
  <si>
    <t>phi</t>
  </si>
  <si>
    <t>Nu_D1</t>
  </si>
  <si>
    <t>4,71a</t>
  </si>
  <si>
    <t>4,71b</t>
  </si>
  <si>
    <t>4,71c</t>
  </si>
  <si>
    <t>Re&lt;10000</t>
  </si>
  <si>
    <t>ReD</t>
  </si>
  <si>
    <t>Pr</t>
  </si>
  <si>
    <t>U_max</t>
  </si>
  <si>
    <t>4,120a</t>
  </si>
  <si>
    <t>4,120b</t>
  </si>
  <si>
    <t>check if Re&lt;10000!!</t>
  </si>
  <si>
    <t>hc</t>
  </si>
  <si>
    <t>W/(m2K)</t>
  </si>
  <si>
    <t>Atot</t>
  </si>
  <si>
    <t>A_1</t>
  </si>
  <si>
    <t>N_tubes</t>
  </si>
  <si>
    <t>m2</t>
  </si>
  <si>
    <t>p.351</t>
  </si>
  <si>
    <t>Ntu</t>
  </si>
  <si>
    <t>p. 352</t>
  </si>
  <si>
    <t>V_flow</t>
  </si>
  <si>
    <t>m_flow</t>
  </si>
  <si>
    <t>A_flow</t>
  </si>
  <si>
    <t>m3/s</t>
  </si>
  <si>
    <t>kg/s</t>
  </si>
  <si>
    <t>(1,59)</t>
  </si>
  <si>
    <t>effectiveness</t>
  </si>
  <si>
    <t>Tout</t>
  </si>
  <si>
    <t>q</t>
  </si>
  <si>
    <t>(1m diep)</t>
  </si>
  <si>
    <t>[kg/s] * [J/(kg*K)]*[K] = [J/s] = [W]</t>
  </si>
  <si>
    <t>-</t>
  </si>
  <si>
    <t>m/s</t>
  </si>
  <si>
    <t>K</t>
  </si>
  <si>
    <t xml:space="preserve">W </t>
  </si>
  <si>
    <t>U_av</t>
  </si>
  <si>
    <t>dP</t>
  </si>
  <si>
    <t>Calculate pressure drop</t>
  </si>
  <si>
    <t>X</t>
  </si>
  <si>
    <t>Calculate Tout and Heat Flux</t>
  </si>
  <si>
    <t>friction</t>
  </si>
  <si>
    <t>Aflezen p. 350!</t>
  </si>
  <si>
    <t>(4,119)</t>
  </si>
  <si>
    <t xml:space="preserve">- </t>
  </si>
  <si>
    <t>for aligned and staggered X=1</t>
  </si>
  <si>
    <t>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</si>
</sst>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5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2" borderId="1" xfId="0" applyFill="1" applyBorder="1"/>
    <xf numFmtId="0" fontId="7" fillId="0" borderId="0" xfId="0" applyFont="1"/>
    <xf numFmtId="164" fontId="2" fillId="6" borderId="3" xfId="1" applyNumberFormat="1"/>
    <xf numFmtId="0" fontId="0" fillId="11" borderId="1" xfId="0" applyFill="1" applyBorder="1"/>
    <xf numFmtId="2" fontId="0" fillId="11" borderId="1" xfId="0" applyNumberForma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0" fillId="13" borderId="0" xfId="0" applyFill="1" applyAlignment="1">
      <alignment horizontal="right"/>
    </xf>
    <xf numFmtId="0" fontId="0" fillId="13" borderId="0" xfId="0" applyFill="1"/>
    <xf numFmtId="0" fontId="0" fillId="0" borderId="0" xfId="0" quotePrefix="1" applyAlignment="1">
      <alignment horizontal="center"/>
    </xf>
    <xf numFmtId="0" fontId="0" fillId="10" borderId="0" xfId="0" applyFill="1"/>
    <xf numFmtId="0" fontId="0" fillId="0" borderId="0" xfId="0" applyNumberFormat="1"/>
    <xf numFmtId="165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11" borderId="0" xfId="0" applyFill="1" applyAlignment="1">
      <alignment horizontal="right"/>
    </xf>
    <xf numFmtId="165" fontId="0" fillId="13" borderId="0" xfId="0" applyNumberFormat="1" applyFill="1"/>
    <xf numFmtId="1" fontId="0" fillId="0" borderId="0" xfId="0" quotePrefix="1" applyNumberFormat="1"/>
    <xf numFmtId="0" fontId="8" fillId="0" borderId="0" xfId="0" applyFont="1"/>
    <xf numFmtId="0" fontId="9" fillId="0" borderId="0" xfId="0" applyFont="1"/>
    <xf numFmtId="0" fontId="0" fillId="14" borderId="1" xfId="0" applyFill="1" applyBorder="1"/>
    <xf numFmtId="0" fontId="10" fillId="0" borderId="0" xfId="0" applyFont="1" applyAlignment="1">
      <alignment horizontal="left"/>
    </xf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22</xdr:row>
          <xdr:rowOff>0</xdr:rowOff>
        </xdr:from>
        <xdr:to>
          <xdr:col>9</xdr:col>
          <xdr:colOff>962025</xdr:colOff>
          <xdr:row>23</xdr:row>
          <xdr:rowOff>19050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IH62"/>
  <sheetViews>
    <sheetView zoomScale="64" zoomScaleNormal="64" workbookViewId="0">
      <selection activeCell="AU83" sqref="AT83:AU83"/>
    </sheetView>
  </sheetViews>
  <sheetFormatPr defaultRowHeight="15" x14ac:dyDescent="0.25"/>
  <cols>
    <col min="1" max="242" width="1.42578125" customWidth="1"/>
  </cols>
  <sheetData>
    <row r="1" spans="1:242" ht="5.0999999999999996" customHeight="1" x14ac:dyDescent="0.25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2"/>
    </row>
    <row r="2" spans="1:242" ht="5.0999999999999996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7"/>
      <c r="AT2" s="28"/>
      <c r="AU2" s="28"/>
      <c r="AV2" s="28"/>
      <c r="AW2" s="28"/>
      <c r="AX2" s="28"/>
      <c r="AY2" s="28"/>
      <c r="AZ2" s="28"/>
      <c r="BA2" s="28"/>
      <c r="BB2" s="7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 t="s">
        <v>47</v>
      </c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 t="s">
        <v>47</v>
      </c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2"/>
    </row>
    <row r="3" spans="1:242" ht="5.0999999999999996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7"/>
      <c r="AT3" s="28"/>
      <c r="AU3" s="28"/>
      <c r="AV3" s="28"/>
      <c r="AW3" s="28"/>
      <c r="AX3" s="28"/>
      <c r="AY3" s="28"/>
      <c r="AZ3" s="28"/>
      <c r="BA3" s="28"/>
      <c r="BB3" s="7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2"/>
    </row>
    <row r="4" spans="1:242" ht="5.0999999999999996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7"/>
      <c r="AT4" s="28"/>
      <c r="AU4" s="28"/>
      <c r="AV4" s="28"/>
      <c r="AW4" s="28"/>
      <c r="AX4" s="28"/>
      <c r="AY4" s="28"/>
      <c r="AZ4" s="28"/>
      <c r="BA4" s="28"/>
      <c r="BB4" s="7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2"/>
    </row>
    <row r="5" spans="1:242" ht="5.0999999999999996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7"/>
      <c r="AT5" s="28"/>
      <c r="AU5" s="28"/>
      <c r="AV5" s="28"/>
      <c r="AW5" s="28"/>
      <c r="AX5" s="28"/>
      <c r="AY5" s="28"/>
      <c r="AZ5" s="28"/>
      <c r="BA5" s="28"/>
      <c r="BB5" s="7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2"/>
    </row>
    <row r="6" spans="1:242" ht="5.0999999999999996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1"/>
      <c r="AU6" s="28"/>
      <c r="AV6" s="28"/>
      <c r="AW6" s="28"/>
      <c r="AX6" s="28"/>
      <c r="AY6" s="28"/>
      <c r="AZ6" s="28"/>
      <c r="BA6" s="11"/>
      <c r="BB6" s="1"/>
      <c r="BC6" s="1"/>
      <c r="BD6" s="1"/>
      <c r="BE6" s="1"/>
      <c r="BF6" s="1"/>
      <c r="BG6" s="3"/>
      <c r="BH6" s="3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2"/>
    </row>
    <row r="7" spans="1:242" ht="5.0999999999999996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7"/>
      <c r="AU7" s="28"/>
      <c r="AV7" s="28"/>
      <c r="AW7" s="28"/>
      <c r="AX7" s="28"/>
      <c r="AY7" s="28"/>
      <c r="AZ7" s="28"/>
      <c r="BA7" s="7"/>
      <c r="BB7" s="1"/>
      <c r="BC7" s="1"/>
      <c r="BD7" s="1"/>
      <c r="BE7" s="1"/>
      <c r="BF7" s="11"/>
      <c r="BG7" s="28"/>
      <c r="BH7" s="28"/>
      <c r="BI7" s="1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2"/>
    </row>
    <row r="8" spans="1:242" ht="5.0999999999999996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7"/>
      <c r="AU8" s="28"/>
      <c r="AV8" s="28"/>
      <c r="AW8" s="28"/>
      <c r="AX8" s="28"/>
      <c r="AY8" s="28"/>
      <c r="AZ8" s="28"/>
      <c r="BA8" s="7"/>
      <c r="BB8" s="1"/>
      <c r="BC8" s="1"/>
      <c r="BD8" s="1"/>
      <c r="BE8" s="7"/>
      <c r="BF8" s="28"/>
      <c r="BG8" s="28"/>
      <c r="BH8" s="28"/>
      <c r="BI8" s="28"/>
      <c r="BJ8" s="7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2"/>
    </row>
    <row r="9" spans="1:242" ht="5.0999999999999996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1"/>
      <c r="AV9" s="28"/>
      <c r="AW9" s="28"/>
      <c r="AX9" s="28"/>
      <c r="AY9" s="28"/>
      <c r="AZ9" s="11"/>
      <c r="BA9" s="1"/>
      <c r="BB9" s="1"/>
      <c r="BC9" s="1"/>
      <c r="BD9" s="1"/>
      <c r="BE9" s="11"/>
      <c r="BF9" s="28"/>
      <c r="BG9" s="28"/>
      <c r="BH9" s="28"/>
      <c r="BI9" s="28"/>
      <c r="BJ9" s="1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2"/>
    </row>
    <row r="10" spans="1:242" ht="5.0999999999999996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7"/>
      <c r="AV10" s="28"/>
      <c r="AW10" s="28"/>
      <c r="AX10" s="28"/>
      <c r="AY10" s="28"/>
      <c r="AZ10" s="7"/>
      <c r="BA10" s="1"/>
      <c r="BB10" s="1"/>
      <c r="BC10" s="1"/>
      <c r="BD10" s="7"/>
      <c r="BE10" s="28"/>
      <c r="BF10" s="28"/>
      <c r="BG10" s="28"/>
      <c r="BH10" s="28"/>
      <c r="BI10" s="28"/>
      <c r="BJ10" s="28"/>
      <c r="BK10" s="7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2"/>
    </row>
    <row r="11" spans="1:242" ht="5.0999999999999996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1"/>
      <c r="AW11" s="28"/>
      <c r="AX11" s="28"/>
      <c r="AY11" s="11"/>
      <c r="AZ11" s="1"/>
      <c r="BA11" s="1"/>
      <c r="BB11" s="1"/>
      <c r="BC11" s="1"/>
      <c r="BD11" s="7"/>
      <c r="BE11" s="28"/>
      <c r="BF11" s="28"/>
      <c r="BG11" s="28"/>
      <c r="BH11" s="28"/>
      <c r="BI11" s="28"/>
      <c r="BJ11" s="28"/>
      <c r="BK11" s="7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2"/>
    </row>
    <row r="12" spans="1:242" ht="5.0999999999999996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3"/>
      <c r="AX12" s="3"/>
      <c r="AY12" s="1"/>
      <c r="AZ12" s="1"/>
      <c r="BA12" s="1"/>
      <c r="BB12" s="1"/>
      <c r="BC12" s="1"/>
      <c r="BD12" s="11"/>
      <c r="BE12" s="28"/>
      <c r="BF12" s="28"/>
      <c r="BG12" s="28"/>
      <c r="BH12" s="28"/>
      <c r="BI12" s="28"/>
      <c r="BJ12" s="28"/>
      <c r="BK12" s="1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2"/>
    </row>
    <row r="13" spans="1:242" ht="5.0999999999999996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7"/>
      <c r="BD13" s="28"/>
      <c r="BE13" s="28"/>
      <c r="BF13" s="28"/>
      <c r="BG13" s="28"/>
      <c r="BH13" s="28"/>
      <c r="BI13" s="28"/>
      <c r="BJ13" s="28"/>
      <c r="BK13" s="28"/>
      <c r="BL13" s="7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2"/>
    </row>
    <row r="14" spans="1:242" ht="5.0999999999999996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7"/>
      <c r="BD14" s="28"/>
      <c r="BE14" s="28"/>
      <c r="BF14" s="28"/>
      <c r="BG14" s="28"/>
      <c r="BH14" s="28"/>
      <c r="BI14" s="28"/>
      <c r="BJ14" s="28"/>
      <c r="BK14" s="28"/>
      <c r="BL14" s="7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2"/>
    </row>
    <row r="15" spans="1:242" ht="5.0999999999999996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7"/>
      <c r="BD15" s="28"/>
      <c r="BE15" s="28"/>
      <c r="BF15" s="28"/>
      <c r="BG15" s="28"/>
      <c r="BH15" s="28"/>
      <c r="BI15" s="28"/>
      <c r="BJ15" s="28"/>
      <c r="BK15" s="28"/>
      <c r="BL15" s="7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2"/>
    </row>
    <row r="16" spans="1:242" ht="5.0999999999999996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7"/>
      <c r="BD16" s="28"/>
      <c r="BE16" s="28"/>
      <c r="BF16" s="28"/>
      <c r="BG16" s="28"/>
      <c r="BH16" s="28"/>
      <c r="BI16" s="28"/>
      <c r="BJ16" s="28"/>
      <c r="BK16" s="28"/>
      <c r="BL16" s="7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2"/>
    </row>
    <row r="17" spans="1:242" ht="5.0999999999999996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7"/>
      <c r="BD17" s="28"/>
      <c r="BE17" s="28"/>
      <c r="BF17" s="28"/>
      <c r="BG17" s="28"/>
      <c r="BH17" s="28"/>
      <c r="BI17" s="28"/>
      <c r="BJ17" s="28"/>
      <c r="BK17" s="28"/>
      <c r="BL17" s="7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2"/>
    </row>
    <row r="18" spans="1:242" ht="5.0999999999999996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7"/>
      <c r="BD18" s="28"/>
      <c r="BE18" s="28"/>
      <c r="BF18" s="28"/>
      <c r="BG18" s="28"/>
      <c r="BH18" s="28"/>
      <c r="BI18" s="28"/>
      <c r="BJ18" s="28"/>
      <c r="BK18" s="28"/>
      <c r="BL18" s="7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2"/>
    </row>
    <row r="19" spans="1:242" ht="5.0999999999999996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7"/>
      <c r="BD19" s="28"/>
      <c r="BE19" s="28"/>
      <c r="BF19" s="28"/>
      <c r="BG19" s="28"/>
      <c r="BH19" s="28"/>
      <c r="BI19" s="28"/>
      <c r="BJ19" s="28"/>
      <c r="BK19" s="28"/>
      <c r="BL19" s="7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2"/>
    </row>
    <row r="20" spans="1:242" ht="5.0999999999999996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7"/>
      <c r="BD20" s="28"/>
      <c r="BE20" s="28"/>
      <c r="BF20" s="28"/>
      <c r="BG20" s="28"/>
      <c r="BH20" s="28"/>
      <c r="BI20" s="28"/>
      <c r="BJ20" s="28"/>
      <c r="BK20" s="28"/>
      <c r="BL20" s="7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2"/>
    </row>
    <row r="21" spans="1:242" ht="5.0999999999999996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3"/>
      <c r="AX21" s="3"/>
      <c r="AY21" s="1"/>
      <c r="AZ21" s="1"/>
      <c r="BA21" s="1"/>
      <c r="BB21" s="1"/>
      <c r="BC21" s="1"/>
      <c r="BD21" s="11"/>
      <c r="BE21" s="28"/>
      <c r="BF21" s="28"/>
      <c r="BG21" s="28"/>
      <c r="BH21" s="28"/>
      <c r="BI21" s="28"/>
      <c r="BJ21" s="28"/>
      <c r="BK21" s="1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2"/>
    </row>
    <row r="22" spans="1:242" ht="5.0999999999999996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1"/>
      <c r="AW22" s="28"/>
      <c r="AX22" s="28"/>
      <c r="AY22" s="11"/>
      <c r="AZ22" s="1"/>
      <c r="BA22" s="1"/>
      <c r="BB22" s="1"/>
      <c r="BC22" s="1"/>
      <c r="BD22" s="7"/>
      <c r="BE22" s="28"/>
      <c r="BF22" s="28"/>
      <c r="BG22" s="28"/>
      <c r="BH22" s="28"/>
      <c r="BI22" s="28"/>
      <c r="BJ22" s="28"/>
      <c r="BK22" s="7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2"/>
    </row>
    <row r="23" spans="1:242" ht="5.0999999999999996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7"/>
      <c r="AV23" s="28"/>
      <c r="AW23" s="28"/>
      <c r="AX23" s="28"/>
      <c r="AY23" s="28"/>
      <c r="AZ23" s="7"/>
      <c r="BA23" s="1"/>
      <c r="BB23" s="1"/>
      <c r="BC23" s="1"/>
      <c r="BD23" s="7"/>
      <c r="BE23" s="28"/>
      <c r="BF23" s="28"/>
      <c r="BG23" s="28"/>
      <c r="BH23" s="28"/>
      <c r="BI23" s="28"/>
      <c r="BJ23" s="28"/>
      <c r="BK23" s="7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2"/>
    </row>
    <row r="24" spans="1:242" ht="5.0999999999999996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1"/>
      <c r="AV24" s="28"/>
      <c r="AW24" s="28"/>
      <c r="AX24" s="28"/>
      <c r="AY24" s="28"/>
      <c r="AZ24" s="11"/>
      <c r="BA24" s="1"/>
      <c r="BB24" s="1"/>
      <c r="BC24" s="1"/>
      <c r="BD24" s="1"/>
      <c r="BE24" s="11"/>
      <c r="BF24" s="28"/>
      <c r="BG24" s="28"/>
      <c r="BH24" s="28"/>
      <c r="BI24" s="28"/>
      <c r="BJ24" s="1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2"/>
    </row>
    <row r="25" spans="1:242" ht="5.0999999999999996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7"/>
      <c r="AU25" s="28"/>
      <c r="AV25" s="28"/>
      <c r="AW25" s="28"/>
      <c r="AX25" s="28"/>
      <c r="AY25" s="28"/>
      <c r="AZ25" s="28"/>
      <c r="BA25" s="7"/>
      <c r="BB25" s="1"/>
      <c r="BC25" s="1"/>
      <c r="BD25" s="1"/>
      <c r="BE25" s="7"/>
      <c r="BF25" s="28"/>
      <c r="BG25" s="28"/>
      <c r="BH25" s="28"/>
      <c r="BI25" s="28"/>
      <c r="BJ25" s="7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2"/>
    </row>
    <row r="26" spans="1:242" ht="5.0999999999999996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7"/>
      <c r="AU26" s="28"/>
      <c r="AV26" s="28"/>
      <c r="AW26" s="28"/>
      <c r="AX26" s="28"/>
      <c r="AY26" s="28"/>
      <c r="AZ26" s="28"/>
      <c r="BA26" s="7"/>
      <c r="BB26" s="1"/>
      <c r="BC26" s="1"/>
      <c r="BD26" s="1"/>
      <c r="BE26" s="1"/>
      <c r="BF26" s="11"/>
      <c r="BG26" s="28"/>
      <c r="BH26" s="28"/>
      <c r="BI26" s="1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2"/>
    </row>
    <row r="27" spans="1:242" ht="5.0999999999999996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1"/>
      <c r="AU27" s="28"/>
      <c r="AV27" s="28"/>
      <c r="AW27" s="28"/>
      <c r="AX27" s="28"/>
      <c r="AY27" s="28"/>
      <c r="AZ27" s="28"/>
      <c r="BA27" s="11"/>
      <c r="BB27" s="1"/>
      <c r="BC27" s="1"/>
      <c r="BD27" s="1"/>
      <c r="BE27" s="1"/>
      <c r="BF27" s="1"/>
      <c r="BG27" s="3"/>
      <c r="BH27" s="3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2"/>
    </row>
    <row r="28" spans="1:242" ht="5.0999999999999996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7"/>
      <c r="AT28" s="28"/>
      <c r="AU28" s="28"/>
      <c r="AV28" s="28"/>
      <c r="AW28" s="28"/>
      <c r="AX28" s="28"/>
      <c r="AY28" s="28"/>
      <c r="AZ28" s="28"/>
      <c r="BA28" s="28"/>
      <c r="BB28" s="7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2"/>
    </row>
    <row r="29" spans="1:242" ht="5.0999999999999996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7"/>
      <c r="AT29" s="28"/>
      <c r="AU29" s="28"/>
      <c r="AV29" s="28"/>
      <c r="AW29" s="28"/>
      <c r="AX29" s="28"/>
      <c r="AY29" s="28"/>
      <c r="AZ29" s="28"/>
      <c r="BA29" s="28"/>
      <c r="BB29" s="7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2"/>
    </row>
    <row r="30" spans="1:242" ht="5.0999999999999996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7"/>
      <c r="AT30" s="28"/>
      <c r="AU30" s="28"/>
      <c r="AV30" s="28"/>
      <c r="AW30" s="28"/>
      <c r="AX30" s="28"/>
      <c r="AY30" s="28"/>
      <c r="AZ30" s="28"/>
      <c r="BA30" s="28"/>
      <c r="BB30" s="7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2"/>
    </row>
    <row r="31" spans="1:242" ht="5.0999999999999996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7"/>
      <c r="AT31" s="28"/>
      <c r="AU31" s="28"/>
      <c r="AV31" s="28"/>
      <c r="AW31" s="28"/>
      <c r="AX31" s="28"/>
      <c r="AY31" s="28"/>
      <c r="AZ31" s="28"/>
      <c r="BA31" s="28"/>
      <c r="BB31" s="7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2"/>
    </row>
    <row r="32" spans="1:242" ht="5.0999999999999996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7"/>
      <c r="AT32" s="28"/>
      <c r="AU32" s="28"/>
      <c r="AV32" s="28"/>
      <c r="AW32" s="28"/>
      <c r="AX32" s="28"/>
      <c r="AY32" s="28"/>
      <c r="AZ32" s="28"/>
      <c r="BA32" s="28"/>
      <c r="BB32" s="7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2"/>
    </row>
    <row r="33" spans="1:242" ht="5.0999999999999996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7"/>
      <c r="AT33" s="28"/>
      <c r="AU33" s="28"/>
      <c r="AV33" s="28"/>
      <c r="AW33" s="28"/>
      <c r="AX33" s="28"/>
      <c r="AY33" s="28"/>
      <c r="AZ33" s="28"/>
      <c r="BA33" s="28"/>
      <c r="BB33" s="7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2"/>
    </row>
    <row r="34" spans="1:242" ht="5.0999999999999996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7"/>
      <c r="AT34" s="28"/>
      <c r="AU34" s="28"/>
      <c r="AV34" s="28"/>
      <c r="AW34" s="28"/>
      <c r="AX34" s="28"/>
      <c r="AY34" s="28"/>
      <c r="AZ34" s="28"/>
      <c r="BA34" s="28"/>
      <c r="BB34" s="7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2"/>
    </row>
    <row r="35" spans="1:242" ht="5.0999999999999996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7"/>
      <c r="AT35" s="28"/>
      <c r="AU35" s="28"/>
      <c r="AV35" s="28"/>
      <c r="AW35" s="28"/>
      <c r="AX35" s="28"/>
      <c r="AY35" s="28"/>
      <c r="AZ35" s="28"/>
      <c r="BA35" s="28"/>
      <c r="BB35" s="7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2"/>
    </row>
    <row r="36" spans="1:242" ht="5.0999999999999996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1"/>
      <c r="AU36" s="28"/>
      <c r="AV36" s="28"/>
      <c r="AW36" s="28"/>
      <c r="AX36" s="28"/>
      <c r="AY36" s="28"/>
      <c r="AZ36" s="28"/>
      <c r="BA36" s="11"/>
      <c r="BB36" s="1"/>
      <c r="BC36" s="1"/>
      <c r="BD36" s="1"/>
      <c r="BE36" s="1"/>
      <c r="BF36" s="1"/>
      <c r="BG36" s="3"/>
      <c r="BH36" s="3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2"/>
    </row>
    <row r="37" spans="1:242" ht="5.0999999999999996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7"/>
      <c r="AU37" s="28"/>
      <c r="AV37" s="28"/>
      <c r="AW37" s="28"/>
      <c r="AX37" s="28"/>
      <c r="AY37" s="28"/>
      <c r="AZ37" s="28"/>
      <c r="BA37" s="7"/>
      <c r="BB37" s="1"/>
      <c r="BC37" s="1"/>
      <c r="BD37" s="1"/>
      <c r="BE37" s="1"/>
      <c r="BF37" s="11"/>
      <c r="BG37" s="28"/>
      <c r="BH37" s="28"/>
      <c r="BI37" s="1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2"/>
    </row>
    <row r="38" spans="1:242" ht="5.0999999999999996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7"/>
      <c r="AU38" s="28"/>
      <c r="AV38" s="28"/>
      <c r="AW38" s="28"/>
      <c r="AX38" s="28"/>
      <c r="AY38" s="28"/>
      <c r="AZ38" s="28"/>
      <c r="BA38" s="7"/>
      <c r="BB38" s="1"/>
      <c r="BC38" s="1"/>
      <c r="BD38" s="1"/>
      <c r="BE38" s="7"/>
      <c r="BF38" s="28"/>
      <c r="BG38" s="28"/>
      <c r="BH38" s="28"/>
      <c r="BI38" s="28"/>
      <c r="BJ38" s="7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2"/>
    </row>
    <row r="39" spans="1:242" ht="5.0999999999999996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1"/>
      <c r="AV39" s="28"/>
      <c r="AW39" s="28"/>
      <c r="AX39" s="28"/>
      <c r="AY39" s="28"/>
      <c r="AZ39" s="11"/>
      <c r="BA39" s="1"/>
      <c r="BB39" s="1"/>
      <c r="BC39" s="1"/>
      <c r="BD39" s="1"/>
      <c r="BE39" s="11"/>
      <c r="BF39" s="28"/>
      <c r="BG39" s="28"/>
      <c r="BH39" s="28"/>
      <c r="BI39" s="28"/>
      <c r="BJ39" s="1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2"/>
    </row>
    <row r="40" spans="1:242" ht="5.0999999999999996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7"/>
      <c r="AV40" s="28"/>
      <c r="AW40" s="28"/>
      <c r="AX40" s="28"/>
      <c r="AY40" s="28"/>
      <c r="AZ40" s="7"/>
      <c r="BA40" s="1"/>
      <c r="BB40" s="1"/>
      <c r="BC40" s="1"/>
      <c r="BD40" s="7"/>
      <c r="BE40" s="28"/>
      <c r="BF40" s="28"/>
      <c r="BG40" s="28"/>
      <c r="BH40" s="28"/>
      <c r="BI40" s="28"/>
      <c r="BJ40" s="28"/>
      <c r="BK40" s="7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2"/>
    </row>
    <row r="41" spans="1:242" ht="5.0999999999999996" customHeight="1" x14ac:dyDescent="0.25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1"/>
      <c r="AW41" s="28"/>
      <c r="AX41" s="28"/>
      <c r="AY41" s="11"/>
      <c r="AZ41" s="1"/>
      <c r="BA41" s="1"/>
      <c r="BB41" s="1"/>
      <c r="BC41" s="1"/>
      <c r="BD41" s="7"/>
      <c r="BE41" s="28"/>
      <c r="BF41" s="28"/>
      <c r="BG41" s="28"/>
      <c r="BH41" s="28"/>
      <c r="BI41" s="28"/>
      <c r="BJ41" s="28"/>
      <c r="BK41" s="7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2"/>
    </row>
    <row r="42" spans="1:242" ht="5.0999999999999996" customHeight="1" x14ac:dyDescent="0.25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3"/>
      <c r="AX42" s="3"/>
      <c r="AY42" s="1"/>
      <c r="AZ42" s="1"/>
      <c r="BA42" s="1"/>
      <c r="BB42" s="1"/>
      <c r="BC42" s="1"/>
      <c r="BD42" s="11"/>
      <c r="BE42" s="28"/>
      <c r="BF42" s="28"/>
      <c r="BG42" s="28"/>
      <c r="BH42" s="28"/>
      <c r="BI42" s="28"/>
      <c r="BJ42" s="28"/>
      <c r="BK42" s="1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2"/>
    </row>
    <row r="43" spans="1:242" ht="5.0999999999999996" customHeight="1" x14ac:dyDescent="0.25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7"/>
      <c r="BD43" s="28"/>
      <c r="BE43" s="28"/>
      <c r="BF43" s="28"/>
      <c r="BG43" s="28"/>
      <c r="BH43" s="28"/>
      <c r="BI43" s="28"/>
      <c r="BJ43" s="28"/>
      <c r="BK43" s="28"/>
      <c r="BL43" s="7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2"/>
    </row>
    <row r="44" spans="1:242" ht="5.0999999999999996" customHeight="1" x14ac:dyDescent="0.25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7"/>
      <c r="BD44" s="28"/>
      <c r="BE44" s="28"/>
      <c r="BF44" s="28"/>
      <c r="BG44" s="28"/>
      <c r="BH44" s="28"/>
      <c r="BI44" s="28"/>
      <c r="BJ44" s="28"/>
      <c r="BK44" s="28"/>
      <c r="BL44" s="7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2"/>
    </row>
    <row r="45" spans="1:242" ht="5.0999999999999996" customHeight="1" x14ac:dyDescent="0.25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7"/>
      <c r="BD45" s="28"/>
      <c r="BE45" s="28"/>
      <c r="BF45" s="28"/>
      <c r="BG45" s="28"/>
      <c r="BH45" s="28"/>
      <c r="BI45" s="28"/>
      <c r="BJ45" s="28"/>
      <c r="BK45" s="28"/>
      <c r="BL45" s="7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2"/>
    </row>
    <row r="46" spans="1:242" ht="5.0999999999999996" customHeight="1" x14ac:dyDescent="0.25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7"/>
      <c r="BD46" s="28"/>
      <c r="BE46" s="28"/>
      <c r="BF46" s="28"/>
      <c r="BG46" s="28"/>
      <c r="BH46" s="28"/>
      <c r="BI46" s="28"/>
      <c r="BJ46" s="28"/>
      <c r="BK46" s="28"/>
      <c r="BL46" s="7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2"/>
    </row>
    <row r="47" spans="1:242" ht="5.0999999999999996" customHeight="1" x14ac:dyDescent="0.25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7"/>
      <c r="BD47" s="28"/>
      <c r="BE47" s="28"/>
      <c r="BF47" s="28"/>
      <c r="BG47" s="28"/>
      <c r="BH47" s="28"/>
      <c r="BI47" s="28"/>
      <c r="BJ47" s="28"/>
      <c r="BK47" s="28"/>
      <c r="BL47" s="7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2"/>
    </row>
    <row r="48" spans="1:242" ht="5.0999999999999996" customHeight="1" x14ac:dyDescent="0.25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7"/>
      <c r="BD48" s="28"/>
      <c r="BE48" s="28"/>
      <c r="BF48" s="28"/>
      <c r="BG48" s="28"/>
      <c r="BH48" s="28"/>
      <c r="BI48" s="28"/>
      <c r="BJ48" s="28"/>
      <c r="BK48" s="28"/>
      <c r="BL48" s="7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2"/>
    </row>
    <row r="49" spans="1:242" ht="5.0999999999999996" customHeight="1" x14ac:dyDescent="0.25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7"/>
      <c r="BD49" s="28"/>
      <c r="BE49" s="28"/>
      <c r="BF49" s="28"/>
      <c r="BG49" s="28"/>
      <c r="BH49" s="28"/>
      <c r="BI49" s="28"/>
      <c r="BJ49" s="28"/>
      <c r="BK49" s="28"/>
      <c r="BL49" s="7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2"/>
    </row>
    <row r="50" spans="1:242" ht="5.0999999999999996" customHeight="1" x14ac:dyDescent="0.25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7"/>
      <c r="BD50" s="28"/>
      <c r="BE50" s="28"/>
      <c r="BF50" s="28"/>
      <c r="BG50" s="28"/>
      <c r="BH50" s="28"/>
      <c r="BI50" s="28"/>
      <c r="BJ50" s="28"/>
      <c r="BK50" s="28"/>
      <c r="BL50" s="7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2"/>
    </row>
    <row r="51" spans="1:242" ht="5.0999999999999996" customHeight="1" x14ac:dyDescent="0.25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3"/>
      <c r="AX51" s="3"/>
      <c r="AY51" s="1"/>
      <c r="AZ51" s="1"/>
      <c r="BA51" s="1"/>
      <c r="BB51" s="1"/>
      <c r="BC51" s="1"/>
      <c r="BD51" s="11"/>
      <c r="BE51" s="28"/>
      <c r="BF51" s="28"/>
      <c r="BG51" s="28"/>
      <c r="BH51" s="28"/>
      <c r="BI51" s="28"/>
      <c r="BJ51" s="28"/>
      <c r="BK51" s="1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2"/>
    </row>
    <row r="52" spans="1:242" ht="5.0999999999999996" customHeight="1" x14ac:dyDescent="0.25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1"/>
      <c r="AW52" s="28"/>
      <c r="AX52" s="28"/>
      <c r="AY52" s="11"/>
      <c r="AZ52" s="1"/>
      <c r="BA52" s="1"/>
      <c r="BB52" s="1"/>
      <c r="BC52" s="1"/>
      <c r="BD52" s="7"/>
      <c r="BE52" s="28"/>
      <c r="BF52" s="28"/>
      <c r="BG52" s="28"/>
      <c r="BH52" s="28"/>
      <c r="BI52" s="28"/>
      <c r="BJ52" s="28"/>
      <c r="BK52" s="7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2"/>
    </row>
    <row r="53" spans="1:242" ht="5.0999999999999996" customHeight="1" x14ac:dyDescent="0.25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7"/>
      <c r="AV53" s="28"/>
      <c r="AW53" s="28"/>
      <c r="AX53" s="28"/>
      <c r="AY53" s="28"/>
      <c r="AZ53" s="7"/>
      <c r="BA53" s="1"/>
      <c r="BB53" s="1"/>
      <c r="BC53" s="1"/>
      <c r="BD53" s="7"/>
      <c r="BE53" s="28"/>
      <c r="BF53" s="28"/>
      <c r="BG53" s="28"/>
      <c r="BH53" s="28"/>
      <c r="BI53" s="28"/>
      <c r="BJ53" s="28"/>
      <c r="BK53" s="7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2"/>
    </row>
    <row r="54" spans="1:242" ht="5.0999999999999996" customHeight="1" x14ac:dyDescent="0.25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1"/>
      <c r="AV54" s="28"/>
      <c r="AW54" s="28"/>
      <c r="AX54" s="28"/>
      <c r="AY54" s="28"/>
      <c r="AZ54" s="11"/>
      <c r="BA54" s="1"/>
      <c r="BB54" s="1"/>
      <c r="BC54" s="1"/>
      <c r="BD54" s="1"/>
      <c r="BE54" s="11"/>
      <c r="BF54" s="28"/>
      <c r="BG54" s="28"/>
      <c r="BH54" s="28"/>
      <c r="BI54" s="28"/>
      <c r="BJ54" s="1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2"/>
    </row>
    <row r="55" spans="1:242" ht="5.0999999999999996" customHeight="1" x14ac:dyDescent="0.25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7"/>
      <c r="AU55" s="28"/>
      <c r="AV55" s="28"/>
      <c r="AW55" s="28"/>
      <c r="AX55" s="28"/>
      <c r="AY55" s="28"/>
      <c r="AZ55" s="28"/>
      <c r="BA55" s="7"/>
      <c r="BB55" s="1"/>
      <c r="BC55" s="1"/>
      <c r="BD55" s="1"/>
      <c r="BE55" s="7"/>
      <c r="BF55" s="28"/>
      <c r="BG55" s="28"/>
      <c r="BH55" s="28"/>
      <c r="BI55" s="28"/>
      <c r="BJ55" s="7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2"/>
    </row>
    <row r="56" spans="1:242" ht="5.0999999999999996" customHeight="1" x14ac:dyDescent="0.25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7"/>
      <c r="AU56" s="28"/>
      <c r="AV56" s="28"/>
      <c r="AW56" s="28"/>
      <c r="AX56" s="28"/>
      <c r="AY56" s="28"/>
      <c r="AZ56" s="28"/>
      <c r="BA56" s="7"/>
      <c r="BB56" s="1"/>
      <c r="BC56" s="1"/>
      <c r="BD56" s="1"/>
      <c r="BE56" s="1"/>
      <c r="BF56" s="11"/>
      <c r="BG56" s="28"/>
      <c r="BH56" s="28"/>
      <c r="BI56" s="1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2"/>
    </row>
    <row r="57" spans="1:242" ht="5.0999999999999996" customHeight="1" x14ac:dyDescent="0.25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1"/>
      <c r="AU57" s="28"/>
      <c r="AV57" s="28"/>
      <c r="AW57" s="28"/>
      <c r="AX57" s="28"/>
      <c r="AY57" s="28"/>
      <c r="AZ57" s="28"/>
      <c r="BA57" s="11"/>
      <c r="BB57" s="1"/>
      <c r="BC57" s="1"/>
      <c r="BD57" s="1"/>
      <c r="BE57" s="1"/>
      <c r="BF57" s="1"/>
      <c r="BG57" s="3"/>
      <c r="BH57" s="3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2"/>
    </row>
    <row r="58" spans="1:242" ht="5.0999999999999996" customHeight="1" x14ac:dyDescent="0.25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7"/>
      <c r="AT58" s="28"/>
      <c r="AU58" s="28"/>
      <c r="AV58" s="28"/>
      <c r="AW58" s="28"/>
      <c r="AX58" s="28"/>
      <c r="AY58" s="28"/>
      <c r="AZ58" s="28"/>
      <c r="BA58" s="28"/>
      <c r="BB58" s="7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2"/>
    </row>
    <row r="59" spans="1:242" ht="5.0999999999999996" customHeight="1" x14ac:dyDescent="0.25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7"/>
      <c r="AT59" s="28"/>
      <c r="AU59" s="28"/>
      <c r="AV59" s="28"/>
      <c r="AW59" s="28"/>
      <c r="AX59" s="28"/>
      <c r="AY59" s="28"/>
      <c r="AZ59" s="28"/>
      <c r="BA59" s="28"/>
      <c r="BB59" s="7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2"/>
    </row>
    <row r="60" spans="1:242" ht="5.0999999999999996" customHeight="1" x14ac:dyDescent="0.25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7"/>
      <c r="AT60" s="28"/>
      <c r="AU60" s="28"/>
      <c r="AV60" s="28"/>
      <c r="AW60" s="28"/>
      <c r="AX60" s="28"/>
      <c r="AY60" s="28"/>
      <c r="AZ60" s="28"/>
      <c r="BA60" s="28"/>
      <c r="BB60" s="7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2"/>
    </row>
    <row r="61" spans="1:242" ht="5.0999999999999996" customHeight="1" x14ac:dyDescent="0.25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7"/>
      <c r="AT61" s="28"/>
      <c r="AU61" s="28"/>
      <c r="AV61" s="28"/>
      <c r="AW61" s="28"/>
      <c r="AX61" s="28"/>
      <c r="AY61" s="28"/>
      <c r="AZ61" s="28"/>
      <c r="BA61" s="28"/>
      <c r="BB61" s="7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2"/>
    </row>
    <row r="62" spans="1:242" ht="5.0999999999999996" customHeight="1" x14ac:dyDescent="0.25">
      <c r="A62" s="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M19" sqref="M19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1" max="11" width="9.5703125" bestFit="1" customWidth="1"/>
    <col min="12" max="12" width="12.285156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ht="14.45" x14ac:dyDescent="0.3">
      <c r="B3" t="s">
        <v>0</v>
      </c>
      <c r="C3" s="10">
        <v>0.45</v>
      </c>
      <c r="D3" s="21" t="s">
        <v>11</v>
      </c>
      <c r="E3" s="21"/>
      <c r="F3" s="21" t="s">
        <v>44</v>
      </c>
      <c r="G3" s="8">
        <v>293</v>
      </c>
      <c r="H3" s="21" t="s">
        <v>12</v>
      </c>
      <c r="J3" s="18"/>
      <c r="K3" t="s">
        <v>43</v>
      </c>
      <c r="M3">
        <v>3</v>
      </c>
    </row>
    <row r="4" spans="2:13" ht="14.45" x14ac:dyDescent="0.3">
      <c r="B4" t="s">
        <v>1</v>
      </c>
      <c r="C4" s="30">
        <v>4.4999999999999998E-2</v>
      </c>
      <c r="D4" s="21" t="s">
        <v>11</v>
      </c>
      <c r="E4" s="21"/>
      <c r="F4" s="21" t="s">
        <v>45</v>
      </c>
      <c r="G4" s="8">
        <v>333</v>
      </c>
      <c r="H4" s="21" t="s">
        <v>12</v>
      </c>
      <c r="J4" s="13"/>
      <c r="K4" t="s">
        <v>46</v>
      </c>
      <c r="M4">
        <v>10</v>
      </c>
    </row>
    <row r="5" spans="2:13" ht="14.45" x14ac:dyDescent="0.3">
      <c r="B5" s="14" t="s">
        <v>41</v>
      </c>
      <c r="C5" s="9">
        <f>C7/C6</f>
        <v>0.25</v>
      </c>
      <c r="D5" s="23"/>
      <c r="E5" s="21"/>
      <c r="F5" s="21" t="s">
        <v>29</v>
      </c>
      <c r="G5" s="8">
        <v>2</v>
      </c>
      <c r="H5" s="21" t="s">
        <v>13</v>
      </c>
      <c r="J5" s="3"/>
      <c r="K5" t="s">
        <v>22</v>
      </c>
      <c r="M5">
        <v>44</v>
      </c>
    </row>
    <row r="6" spans="2:13" ht="14.45" x14ac:dyDescent="0.3">
      <c r="B6" t="s">
        <v>2</v>
      </c>
      <c r="C6" s="8">
        <v>240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ht="14.45" x14ac:dyDescent="0.3">
      <c r="B7" t="s">
        <v>3</v>
      </c>
      <c r="C7" s="8">
        <v>60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ht="14.45" x14ac:dyDescent="0.3">
      <c r="C8" s="24" t="b">
        <v>0</v>
      </c>
      <c r="D8" s="21"/>
      <c r="E8" s="21"/>
      <c r="F8" s="21"/>
      <c r="G8" s="21"/>
      <c r="H8" s="21"/>
    </row>
    <row r="9" spans="2:13" ht="14.45" x14ac:dyDescent="0.3">
      <c r="C9" s="21"/>
      <c r="D9" s="21"/>
      <c r="E9" s="21"/>
      <c r="F9" s="21"/>
      <c r="G9" s="21"/>
      <c r="H9" s="21"/>
    </row>
    <row r="10" spans="2:13" ht="14.45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ht="14.45" x14ac:dyDescent="0.3">
      <c r="C12" s="21"/>
      <c r="D12" s="21"/>
      <c r="E12" s="21"/>
      <c r="F12" s="21"/>
      <c r="G12" s="21"/>
      <c r="H12" s="21"/>
    </row>
    <row r="13" spans="2:13" ht="14.45" x14ac:dyDescent="0.3">
      <c r="B13" t="s">
        <v>9</v>
      </c>
      <c r="C13" s="8">
        <v>100</v>
      </c>
      <c r="D13" s="21"/>
      <c r="E13" s="21"/>
      <c r="F13" s="25" t="s">
        <v>7</v>
      </c>
      <c r="G13" s="51" t="s">
        <v>8</v>
      </c>
      <c r="H13" s="51"/>
      <c r="J13" t="s">
        <v>30</v>
      </c>
      <c r="K13" s="17" t="s">
        <v>31</v>
      </c>
      <c r="L13" s="16"/>
    </row>
    <row r="14" spans="2:13" ht="14.45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1.042</v>
      </c>
      <c r="L14" t="s">
        <v>38</v>
      </c>
    </row>
    <row r="15" spans="2:13" ht="14.45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ht="14.45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ht="14.45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ht="14.45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ht="14.45" x14ac:dyDescent="0.3">
      <c r="B19" t="s">
        <v>18</v>
      </c>
      <c r="C19" s="8">
        <v>1</v>
      </c>
      <c r="D19" s="21"/>
      <c r="E19" s="21"/>
      <c r="F19" s="23" t="s">
        <v>26</v>
      </c>
      <c r="G19" s="8">
        <v>5.0000000000000001E-4</v>
      </c>
      <c r="H19" s="23"/>
    </row>
    <row r="20" spans="2:12" ht="14.45" x14ac:dyDescent="0.3">
      <c r="C20" s="21"/>
      <c r="D20" s="21"/>
      <c r="E20" s="21"/>
      <c r="F20" s="23" t="s">
        <v>60</v>
      </c>
      <c r="G20" s="8">
        <v>0.1</v>
      </c>
      <c r="H20" s="21"/>
    </row>
    <row r="21" spans="2:12" ht="14.45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ht="14.45" x14ac:dyDescent="0.3">
      <c r="C23" s="21"/>
      <c r="D23" s="21"/>
      <c r="E23" s="21"/>
      <c r="F23" s="21" t="s">
        <v>49</v>
      </c>
      <c r="G23" s="21"/>
      <c r="H23" s="21" t="s">
        <v>51</v>
      </c>
      <c r="K23" s="31" t="b">
        <v>0</v>
      </c>
    </row>
    <row r="24" spans="2:12" ht="14.45" x14ac:dyDescent="0.3">
      <c r="B24" t="s">
        <v>50</v>
      </c>
      <c r="C24" s="8" t="s">
        <v>63</v>
      </c>
      <c r="E24" t="s">
        <v>54</v>
      </c>
      <c r="F24" s="9">
        <f>0.2*C$27</f>
        <v>9.0000000000000011E-2</v>
      </c>
      <c r="H24" s="9">
        <f>F24+IF(C24="Square",C31,SQRT(C31^2 - (C31/2)^2))</f>
        <v>0.10948557158514988</v>
      </c>
      <c r="J24" t="s">
        <v>64</v>
      </c>
      <c r="K24" s="32">
        <f>'Fluid properties'!B4*U_av*Do/'Fluid properties'!B5</f>
        <v>3280.8479910246397</v>
      </c>
      <c r="L24" s="16"/>
    </row>
    <row r="25" spans="2:12" ht="14.45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1.125E-2</v>
      </c>
      <c r="J25" t="s">
        <v>62</v>
      </c>
      <c r="K25" s="32">
        <f>G19*G5/(C3/C6)</f>
        <v>0.53333333333333333</v>
      </c>
    </row>
    <row r="26" spans="2:12" ht="14.45" x14ac:dyDescent="0.3">
      <c r="F26" s="26"/>
      <c r="G26" s="26"/>
      <c r="H26" s="26"/>
    </row>
    <row r="27" spans="2:12" ht="14.45" customHeight="1" x14ac:dyDescent="0.3">
      <c r="B27" t="s">
        <v>0</v>
      </c>
      <c r="C27" s="27">
        <f>C3</f>
        <v>0.45</v>
      </c>
      <c r="D27" t="s">
        <v>11</v>
      </c>
      <c r="E27" t="s">
        <v>54</v>
      </c>
      <c r="F27" s="9">
        <f>0.2*C$27</f>
        <v>9.0000000000000011E-2</v>
      </c>
      <c r="H27" s="9">
        <f>H24</f>
        <v>0.10948557158514988</v>
      </c>
      <c r="K27" s="29"/>
    </row>
    <row r="28" spans="2:12" ht="14.45" x14ac:dyDescent="0.3">
      <c r="B28" t="s">
        <v>1</v>
      </c>
      <c r="C28" s="27">
        <f>C4</f>
        <v>4.4999999999999998E-2</v>
      </c>
      <c r="D28" t="s">
        <v>11</v>
      </c>
      <c r="E28" t="s">
        <v>55</v>
      </c>
      <c r="F28" s="9">
        <f>C31</f>
        <v>2.2499999999999999E-2</v>
      </c>
      <c r="H28" s="9">
        <f>H25+C31</f>
        <v>3.3750000000000002E-2</v>
      </c>
    </row>
    <row r="30" spans="2:12" ht="14.45" x14ac:dyDescent="0.3">
      <c r="B30" t="s">
        <v>53</v>
      </c>
      <c r="C30" s="9">
        <f>C31/C25</f>
        <v>1.4999999999999999E-2</v>
      </c>
      <c r="D30" t="s">
        <v>11</v>
      </c>
      <c r="E30" t="s">
        <v>54</v>
      </c>
      <c r="F30" s="9">
        <f>0.2*C$27</f>
        <v>9.0000000000000011E-2</v>
      </c>
      <c r="H30" s="9" t="str">
        <f>IF(C24="Square",F30+C$31,"None")</f>
        <v>None</v>
      </c>
    </row>
    <row r="31" spans="2:12" ht="14.45" x14ac:dyDescent="0.3">
      <c r="B31" t="s">
        <v>52</v>
      </c>
      <c r="C31" s="9">
        <f>C28/2</f>
        <v>2.2499999999999999E-2</v>
      </c>
      <c r="D31" t="s">
        <v>11</v>
      </c>
      <c r="E31" t="s">
        <v>55</v>
      </c>
      <c r="F31" s="9">
        <f>C28</f>
        <v>4.4999999999999998E-2</v>
      </c>
      <c r="H31" s="9" t="str">
        <f>IF(C24="Square",F31,"None")</f>
        <v>None</v>
      </c>
    </row>
    <row r="33" spans="2:4" x14ac:dyDescent="0.25">
      <c r="B33" t="s">
        <v>57</v>
      </c>
      <c r="C33" s="8">
        <f>C3/C6</f>
        <v>1.8750000000000001E-3</v>
      </c>
      <c r="D33" t="s">
        <v>59</v>
      </c>
    </row>
    <row r="34" spans="2:4" x14ac:dyDescent="0.25">
      <c r="B34" t="s">
        <v>58</v>
      </c>
      <c r="C34" s="8">
        <f>C4/C7</f>
        <v>7.5000000000000002E-4</v>
      </c>
      <c r="D34" t="s">
        <v>59</v>
      </c>
    </row>
  </sheetData>
  <mergeCells count="1">
    <mergeCell ref="G13:H13"/>
  </mergeCells>
  <conditionalFormatting sqref="K23">
    <cfRule type="cellIs" dxfId="2" priority="3" operator="equal">
      <formula>TRUE</formula>
    </cfRule>
  </conditionalFormatting>
  <conditionalFormatting sqref="K24">
    <cfRule type="cellIs" dxfId="1" priority="2" operator="lessThan">
      <formula>2300</formula>
    </cfRule>
  </conditionalFormatting>
  <conditionalFormatting sqref="K25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95250</xdr:colOff>
                    <xdr:row>22</xdr:row>
                    <xdr:rowOff>0</xdr:rowOff>
                  </from>
                  <to>
                    <xdr:col>9</xdr:col>
                    <xdr:colOff>962025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C11" sqref="C11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27</v>
      </c>
      <c r="B1" s="5"/>
      <c r="C1" s="5"/>
    </row>
    <row r="3" spans="1:3" ht="14.45" x14ac:dyDescent="0.3">
      <c r="A3" t="s">
        <v>30</v>
      </c>
      <c r="B3" t="s">
        <v>31</v>
      </c>
      <c r="C3" t="s">
        <v>32</v>
      </c>
    </row>
    <row r="4" spans="1:3" ht="14.45" x14ac:dyDescent="0.3">
      <c r="A4" t="s">
        <v>33</v>
      </c>
      <c r="B4">
        <f>1.042</f>
        <v>1.042</v>
      </c>
      <c r="C4">
        <v>1000</v>
      </c>
    </row>
    <row r="5" spans="1:3" ht="14.45" x14ac:dyDescent="0.3">
      <c r="A5" t="s">
        <v>34</v>
      </c>
      <c r="B5" s="15">
        <v>2.0000000000000002E-5</v>
      </c>
      <c r="C5" s="15">
        <v>1E-3</v>
      </c>
    </row>
    <row r="6" spans="1:3" ht="14.45" x14ac:dyDescent="0.3">
      <c r="A6" t="s">
        <v>37</v>
      </c>
      <c r="B6">
        <v>1013</v>
      </c>
      <c r="C6">
        <v>4200</v>
      </c>
    </row>
    <row r="7" spans="1:3" ht="14.45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9"/>
  <sheetViews>
    <sheetView workbookViewId="0">
      <selection activeCell="H26" sqref="H26"/>
    </sheetView>
  </sheetViews>
  <sheetFormatPr defaultRowHeight="15" x14ac:dyDescent="0.25"/>
  <cols>
    <col min="3" max="3" width="13.140625" bestFit="1" customWidth="1"/>
  </cols>
  <sheetData>
    <row r="2" spans="2:7" x14ac:dyDescent="0.25">
      <c r="B2" s="47" t="s">
        <v>115</v>
      </c>
    </row>
    <row r="3" spans="2:7" x14ac:dyDescent="0.25">
      <c r="C3" s="33" t="s">
        <v>71</v>
      </c>
      <c r="D3">
        <f>Pitch/Do</f>
        <v>1.5</v>
      </c>
      <c r="E3" s="35" t="s">
        <v>107</v>
      </c>
    </row>
    <row r="4" spans="2:7" x14ac:dyDescent="0.25">
      <c r="C4" s="33" t="s">
        <v>72</v>
      </c>
      <c r="D4">
        <f>Pitch/Do</f>
        <v>1.5</v>
      </c>
      <c r="E4" s="35" t="s">
        <v>107</v>
      </c>
    </row>
    <row r="5" spans="2:7" x14ac:dyDescent="0.25">
      <c r="B5" t="s">
        <v>73</v>
      </c>
      <c r="C5" s="36" t="s">
        <v>70</v>
      </c>
      <c r="D5" s="37">
        <f>1-PI()/(4*P_T)</f>
        <v>0.47640122440170118</v>
      </c>
      <c r="E5" s="35" t="s">
        <v>107</v>
      </c>
    </row>
    <row r="6" spans="2:7" x14ac:dyDescent="0.25">
      <c r="B6" t="s">
        <v>74</v>
      </c>
      <c r="C6" s="36" t="s">
        <v>70</v>
      </c>
      <c r="D6" s="37">
        <f>1-PI()/(4*P_T*P_L)</f>
        <v>0.65093414960113405</v>
      </c>
      <c r="E6" s="35" t="s">
        <v>107</v>
      </c>
    </row>
    <row r="7" spans="2:7" x14ac:dyDescent="0.25">
      <c r="C7" s="33" t="s">
        <v>70</v>
      </c>
      <c r="D7">
        <f>IF(P_L&lt;1,D6,D5)</f>
        <v>0.47640122440170118</v>
      </c>
      <c r="E7" s="35" t="s">
        <v>107</v>
      </c>
    </row>
    <row r="8" spans="2:7" x14ac:dyDescent="0.25">
      <c r="B8">
        <v>4.1159999999999997</v>
      </c>
      <c r="C8" s="36" t="s">
        <v>65</v>
      </c>
      <c r="D8" s="37">
        <f>1+0.7/factor^1.5*(Pitch/Pitch-0.3)/(Pitch/Pitch+0.7)^2</f>
        <v>1.5156308982571498</v>
      </c>
      <c r="E8" s="35" t="s">
        <v>107</v>
      </c>
    </row>
    <row r="9" spans="2:7" x14ac:dyDescent="0.25">
      <c r="B9">
        <v>4.117</v>
      </c>
      <c r="C9" s="36" t="s">
        <v>66</v>
      </c>
      <c r="D9" s="37">
        <f>1+2/(3*P_L)</f>
        <v>1.4444444444444444</v>
      </c>
      <c r="E9" s="35" t="s">
        <v>107</v>
      </c>
    </row>
    <row r="10" spans="2:7" x14ac:dyDescent="0.25">
      <c r="C10" s="33" t="s">
        <v>75</v>
      </c>
      <c r="D10">
        <f>IF('Grid settings'!C24="Triangular",phi_st,phi_in)</f>
        <v>1.4444444444444444</v>
      </c>
      <c r="E10" s="35" t="s">
        <v>107</v>
      </c>
    </row>
    <row r="11" spans="2:7" x14ac:dyDescent="0.25">
      <c r="C11" s="33" t="s">
        <v>67</v>
      </c>
      <c r="D11" s="34">
        <v>2</v>
      </c>
      <c r="E11" s="35" t="s">
        <v>107</v>
      </c>
    </row>
    <row r="12" spans="2:7" x14ac:dyDescent="0.25">
      <c r="B12">
        <v>4.1130000000000004</v>
      </c>
      <c r="C12" s="33" t="s">
        <v>111</v>
      </c>
      <c r="D12" s="42">
        <f>U_in*Pitch/(Pitch-PI()/4*Do)</f>
        <v>4.1981420230641584</v>
      </c>
      <c r="E12" t="s">
        <v>108</v>
      </c>
    </row>
    <row r="13" spans="2:7" x14ac:dyDescent="0.25">
      <c r="C13" s="33" t="s">
        <v>81</v>
      </c>
      <c r="D13" s="46">
        <f>'Fluid properties'!B4*U_av*Do/'Fluid properties'!B5</f>
        <v>3280.8479910246397</v>
      </c>
      <c r="E13" s="35" t="s">
        <v>107</v>
      </c>
    </row>
    <row r="14" spans="2:7" x14ac:dyDescent="0.25">
      <c r="C14" s="33" t="s">
        <v>82</v>
      </c>
      <c r="D14" s="40">
        <f>'Fluid properties'!B5*'Fluid properties'!B6/'Fluid properties'!B7</f>
        <v>0.81040000000000001</v>
      </c>
      <c r="E14" s="35" t="s">
        <v>107</v>
      </c>
    </row>
    <row r="15" spans="2:7" x14ac:dyDescent="0.25">
      <c r="B15" t="s">
        <v>77</v>
      </c>
      <c r="C15" s="36" t="s">
        <v>76</v>
      </c>
      <c r="D15" s="37">
        <f>0.3+0.62*ReD^0.5*Pr^(1/3)/(1+(0.4/Pr)^(2/3))^(1/4)</f>
        <v>29.626978902712327</v>
      </c>
      <c r="E15" s="35" t="s">
        <v>107</v>
      </c>
      <c r="F15" t="s">
        <v>80</v>
      </c>
      <c r="G15" s="48" t="s">
        <v>86</v>
      </c>
    </row>
    <row r="16" spans="2:7" x14ac:dyDescent="0.25">
      <c r="B16" t="s">
        <v>78</v>
      </c>
      <c r="C16" s="36" t="s">
        <v>76</v>
      </c>
      <c r="D16" s="39"/>
      <c r="E16" s="35" t="s">
        <v>107</v>
      </c>
    </row>
    <row r="17" spans="2:6" x14ac:dyDescent="0.25">
      <c r="B17" t="s">
        <v>79</v>
      </c>
      <c r="C17" s="36" t="s">
        <v>76</v>
      </c>
      <c r="D17" s="39"/>
      <c r="E17" s="35" t="s">
        <v>107</v>
      </c>
    </row>
    <row r="18" spans="2:6" x14ac:dyDescent="0.25">
      <c r="C18" s="33" t="s">
        <v>76</v>
      </c>
      <c r="D18">
        <f>D15</f>
        <v>29.626978902712327</v>
      </c>
      <c r="E18" s="35" t="s">
        <v>107</v>
      </c>
    </row>
    <row r="19" spans="2:6" x14ac:dyDescent="0.25">
      <c r="B19" s="35" t="s">
        <v>68</v>
      </c>
      <c r="C19" s="33" t="s">
        <v>69</v>
      </c>
      <c r="D19" s="38">
        <f>1+(N_rows-1)*phi/N_rows*Nu_D1</f>
        <v>22.397262540847791</v>
      </c>
      <c r="E19" s="35" t="s">
        <v>107</v>
      </c>
    </row>
    <row r="20" spans="2:6" x14ac:dyDescent="0.25">
      <c r="B20" t="s">
        <v>93</v>
      </c>
      <c r="C20" s="33" t="s">
        <v>87</v>
      </c>
      <c r="D20">
        <f>Nu_D*'Fluid properties'!B7/Do</f>
        <v>37.328770901412987</v>
      </c>
      <c r="E20" t="s">
        <v>88</v>
      </c>
    </row>
    <row r="21" spans="2:6" x14ac:dyDescent="0.25">
      <c r="C21" s="33" t="s">
        <v>90</v>
      </c>
      <c r="D21">
        <f>PI()*Do*1</f>
        <v>4.7123889803846894E-2</v>
      </c>
      <c r="E21" t="s">
        <v>92</v>
      </c>
      <c r="F21" t="s">
        <v>105</v>
      </c>
    </row>
    <row r="22" spans="2:6" x14ac:dyDescent="0.25">
      <c r="C22" s="33" t="s">
        <v>91</v>
      </c>
      <c r="D22" s="44">
        <v>4</v>
      </c>
      <c r="E22" s="35" t="s">
        <v>107</v>
      </c>
    </row>
    <row r="23" spans="2:6" x14ac:dyDescent="0.25">
      <c r="C23" s="33" t="s">
        <v>89</v>
      </c>
      <c r="D23">
        <f>N_tubes*A_1</f>
        <v>0.18849555921538758</v>
      </c>
      <c r="E23" t="s">
        <v>92</v>
      </c>
    </row>
    <row r="25" spans="2:6" x14ac:dyDescent="0.25">
      <c r="C25" s="33" t="s">
        <v>98</v>
      </c>
      <c r="D25">
        <f>YMAX*1</f>
        <v>4.4999999999999998E-2</v>
      </c>
      <c r="E25" t="s">
        <v>92</v>
      </c>
      <c r="F25" t="s">
        <v>105</v>
      </c>
    </row>
    <row r="26" spans="2:6" x14ac:dyDescent="0.25">
      <c r="C26" s="33" t="s">
        <v>96</v>
      </c>
      <c r="D26" s="43">
        <f>U_in*A_flow</f>
        <v>0.09</v>
      </c>
      <c r="E26" t="s">
        <v>99</v>
      </c>
    </row>
    <row r="27" spans="2:6" x14ac:dyDescent="0.25">
      <c r="C27" s="33" t="s">
        <v>97</v>
      </c>
      <c r="D27" s="43">
        <f>'Fluid properties'!B4*V_flow</f>
        <v>9.3780000000000002E-2</v>
      </c>
      <c r="E27" t="s">
        <v>100</v>
      </c>
    </row>
    <row r="28" spans="2:6" x14ac:dyDescent="0.25">
      <c r="B28" t="s">
        <v>95</v>
      </c>
      <c r="C28" s="33" t="s">
        <v>94</v>
      </c>
      <c r="D28">
        <f>hc*Atot/(m_flow*'Fluid properties'!B6)</f>
        <v>7.4067065721699465E-2</v>
      </c>
      <c r="E28" s="35" t="s">
        <v>107</v>
      </c>
    </row>
    <row r="29" spans="2:6" x14ac:dyDescent="0.25">
      <c r="B29" s="35" t="s">
        <v>101</v>
      </c>
      <c r="C29" s="33" t="s">
        <v>102</v>
      </c>
      <c r="D29">
        <f>1-EXP(-Ntu)</f>
        <v>7.1390586107633935E-2</v>
      </c>
      <c r="E29" s="35" t="s">
        <v>107</v>
      </c>
    </row>
    <row r="30" spans="2:6" x14ac:dyDescent="0.25">
      <c r="C30" s="33" t="s">
        <v>103</v>
      </c>
      <c r="D30" s="41">
        <f>effectiveness*(T_obj-T0)+T0</f>
        <v>295.85562344430537</v>
      </c>
      <c r="E30" t="s">
        <v>109</v>
      </c>
    </row>
    <row r="31" spans="2:6" x14ac:dyDescent="0.25">
      <c r="C31" s="33" t="s">
        <v>104</v>
      </c>
      <c r="D31">
        <f>m_flow*'Fluid properties'!B6*(Tout-T0)</f>
        <v>271.28177137284763</v>
      </c>
      <c r="E31" t="s">
        <v>110</v>
      </c>
      <c r="F31" t="s">
        <v>106</v>
      </c>
    </row>
    <row r="33" spans="2:8" x14ac:dyDescent="0.25">
      <c r="B33" s="47" t="s">
        <v>113</v>
      </c>
      <c r="C33" s="33"/>
    </row>
    <row r="34" spans="2:8" x14ac:dyDescent="0.25">
      <c r="B34" t="s">
        <v>84</v>
      </c>
      <c r="C34" s="36" t="s">
        <v>83</v>
      </c>
      <c r="D34" s="45">
        <f>U_in*Pitch/(Pitch-Do)</f>
        <v>6</v>
      </c>
      <c r="E34" t="s">
        <v>108</v>
      </c>
    </row>
    <row r="35" spans="2:8" x14ac:dyDescent="0.25">
      <c r="B35" t="s">
        <v>85</v>
      </c>
      <c r="C35" s="36" t="s">
        <v>83</v>
      </c>
      <c r="D35" s="45">
        <f>MAX(F35,G35)</f>
        <v>6</v>
      </c>
      <c r="E35" t="s">
        <v>108</v>
      </c>
      <c r="F35">
        <f>U_in*Pitch/(Pitch-Do)</f>
        <v>6</v>
      </c>
      <c r="G35">
        <f>Pitch/2/(SQRT(Pitch^2+(Pitch/2)^2)-Do)</f>
        <v>1.1077452343964864</v>
      </c>
      <c r="H35" t="s">
        <v>108</v>
      </c>
    </row>
    <row r="36" spans="2:8" x14ac:dyDescent="0.25">
      <c r="C36" s="33" t="s">
        <v>83</v>
      </c>
      <c r="D36" s="41">
        <f>IF('Grid settings'!C24="Triangular",D35,D34)</f>
        <v>6</v>
      </c>
      <c r="E36" t="s">
        <v>108</v>
      </c>
    </row>
    <row r="37" spans="2:8" x14ac:dyDescent="0.25">
      <c r="C37" s="33" t="s">
        <v>114</v>
      </c>
      <c r="D37">
        <v>1</v>
      </c>
      <c r="E37" s="35" t="s">
        <v>119</v>
      </c>
      <c r="F37" s="50" t="s">
        <v>120</v>
      </c>
    </row>
    <row r="38" spans="2:8" x14ac:dyDescent="0.25">
      <c r="C38" s="33" t="s">
        <v>116</v>
      </c>
      <c r="D38" s="49">
        <v>0.52</v>
      </c>
      <c r="E38" s="35" t="s">
        <v>107</v>
      </c>
      <c r="F38" s="48" t="s">
        <v>117</v>
      </c>
    </row>
    <row r="39" spans="2:8" x14ac:dyDescent="0.25">
      <c r="B39" s="35" t="s">
        <v>118</v>
      </c>
      <c r="C39" s="33" t="s">
        <v>112</v>
      </c>
      <c r="D39">
        <f>N_tubes*X*('Fluid properties'!B4*U_max^2/2)*friction</f>
        <v>39.012480000000004</v>
      </c>
      <c r="E39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Constraints</vt:lpstr>
      <vt:lpstr>Grid settings</vt:lpstr>
      <vt:lpstr>Fluid properties</vt:lpstr>
      <vt:lpstr>Analytical Calc</vt:lpstr>
      <vt:lpstr>A_1</vt:lpstr>
      <vt:lpstr>A_flow</vt:lpstr>
      <vt:lpstr>Atot</vt:lpstr>
      <vt:lpstr>Do</vt:lpstr>
      <vt:lpstr>effectiveness</vt:lpstr>
      <vt:lpstr>factor</vt:lpstr>
      <vt:lpstr>friction</vt:lpstr>
      <vt:lpstr>hc</vt:lpstr>
      <vt:lpstr>m_flow</vt:lpstr>
      <vt:lpstr>N_rows</vt:lpstr>
      <vt:lpstr>N_tubes</vt:lpstr>
      <vt:lpstr>Ntu</vt:lpstr>
      <vt:lpstr>Nu_D</vt:lpstr>
      <vt:lpstr>Nu_D1</vt:lpstr>
      <vt:lpstr>P_L</vt:lpstr>
      <vt:lpstr>P_T</vt:lpstr>
      <vt:lpstr>phi</vt:lpstr>
      <vt:lpstr>phi_in</vt:lpstr>
      <vt:lpstr>phi_st</vt:lpstr>
      <vt:lpstr>Pitch</vt:lpstr>
      <vt:lpstr>Pr</vt:lpstr>
      <vt:lpstr>ReD</vt:lpstr>
      <vt:lpstr>T_obj</vt:lpstr>
      <vt:lpstr>T0</vt:lpstr>
      <vt:lpstr>Tout</vt:lpstr>
      <vt:lpstr>U_av</vt:lpstr>
      <vt:lpstr>U_in</vt:lpstr>
      <vt:lpstr>U_max</vt:lpstr>
      <vt:lpstr>V_flow</vt:lpstr>
      <vt:lpstr>X</vt:lpstr>
      <vt:lpstr>YMAX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2018-04-17T14:31:24Z</dcterms:modified>
</cp:coreProperties>
</file>