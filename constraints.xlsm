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1925" windowHeight="10125"/>
  </bookViews>
  <sheets>
    <sheet name="Constraints" sheetId="1" r:id="rId1"/>
    <sheet name="Grid settings" sheetId="2" r:id="rId2"/>
    <sheet name="Fluid properties" sheetId="3" r:id="rId3"/>
  </sheets>
  <calcPr calcId="145621"/>
</workbook>
</file>

<file path=xl/calcChain.xml><?xml version="1.0" encoding="utf-8"?>
<calcChain xmlns="http://schemas.openxmlformats.org/spreadsheetml/2006/main">
  <c r="C6" i="2" l="1"/>
  <c r="K26" i="2" s="1"/>
  <c r="C34" i="2" l="1"/>
  <c r="C33" i="2"/>
  <c r="C28" i="2"/>
  <c r="C31" i="2" s="1"/>
  <c r="F28" i="2" s="1"/>
  <c r="C27" i="2"/>
  <c r="F27" i="2" l="1"/>
  <c r="F24" i="2"/>
  <c r="H24" i="2" s="1"/>
  <c r="F31" i="2"/>
  <c r="H31" i="2" s="1"/>
  <c r="F30" i="2"/>
  <c r="H25" i="2"/>
  <c r="C5" i="2" l="1"/>
  <c r="K17" i="2" l="1"/>
  <c r="K16" i="2"/>
  <c r="K15" i="2"/>
  <c r="K14" i="2"/>
  <c r="H30" i="2"/>
  <c r="H28" i="2"/>
  <c r="C30" i="2"/>
  <c r="H27" i="2" l="1"/>
</calcChain>
</file>

<file path=xl/sharedStrings.xml><?xml version="1.0" encoding="utf-8"?>
<sst xmlns="http://schemas.openxmlformats.org/spreadsheetml/2006/main" count="85" uniqueCount="64">
  <si>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</si>
  <si>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</si>
  <si>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</si>
  <si>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</si>
  <si>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</si>
  <si>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</si>
  <si>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</si>
  <si>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</si>
  <si>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</si>
  <si>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MAX_ITER</t>
  </si>
  <si>
    <t>Temperature and Velocity</t>
  </si>
  <si>
    <t>[m]</t>
  </si>
  <si>
    <t>[K]</t>
  </si>
  <si>
    <t>[m/s]</t>
  </si>
  <si>
    <t>U_ITER</t>
  </si>
  <si>
    <t>V_ITER</t>
  </si>
  <si>
    <t>PC_ITER</t>
  </si>
  <si>
    <t>EPS_ITER</t>
  </si>
  <si>
    <t>K_ITER</t>
  </si>
  <si>
    <t>Relaxation and Iteration</t>
  </si>
  <si>
    <t>T_ITER</t>
  </si>
  <si>
    <t>Legend</t>
  </si>
  <si>
    <t>yplus in u direction</t>
  </si>
  <si>
    <t>yplus in v direction</t>
  </si>
  <si>
    <t>yplus in both directions</t>
  </si>
  <si>
    <t>Gamma</t>
  </si>
  <si>
    <t>Dt</t>
  </si>
  <si>
    <t>Fluid properties</t>
  </si>
  <si>
    <t>Solver</t>
  </si>
  <si>
    <t>U_IN</t>
  </si>
  <si>
    <t>Fluid</t>
  </si>
  <si>
    <t>Air</t>
  </si>
  <si>
    <t>Water</t>
  </si>
  <si>
    <t>density</t>
  </si>
  <si>
    <t>viscosity</t>
  </si>
  <si>
    <t>Thermal conductivity</t>
  </si>
  <si>
    <t>[J/kg/K]</t>
  </si>
  <si>
    <t>Specific heat</t>
  </si>
  <si>
    <t>[kg/m^3]</t>
  </si>
  <si>
    <t>[Pa*s]</t>
  </si>
  <si>
    <t>[W/m/K]</t>
  </si>
  <si>
    <t>NPJ / NPI</t>
  </si>
  <si>
    <t>both u, v fixed, adiabatic</t>
  </si>
  <si>
    <t>both u, v fixed, T is T</t>
  </si>
  <si>
    <t>T0</t>
  </si>
  <si>
    <t>T objects</t>
  </si>
  <si>
    <t>Full slip wall</t>
  </si>
  <si>
    <t xml:space="preserve"> </t>
  </si>
  <si>
    <t>HE Layout</t>
  </si>
  <si>
    <t>Row 1</t>
  </si>
  <si>
    <t>Layout</t>
  </si>
  <si>
    <t>Row 2</t>
  </si>
  <si>
    <t>pitch</t>
  </si>
  <si>
    <t>tube diam (D)</t>
  </si>
  <si>
    <t>x</t>
  </si>
  <si>
    <t>y</t>
  </si>
  <si>
    <t>*D</t>
  </si>
  <si>
    <t>DX</t>
  </si>
  <si>
    <t>DY</t>
  </si>
  <si>
    <t>[m / cell]</t>
  </si>
  <si>
    <t>Max time</t>
  </si>
  <si>
    <t>Debug</t>
  </si>
  <si>
    <t>Triangular</t>
  </si>
  <si>
    <t>Quarant kental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</si>
</sst>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color rgb="FF1F497D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1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1" diagonalDown="1">
      <left/>
      <right/>
      <top/>
      <bottom/>
      <diagonal style="thin">
        <color auto="1"/>
      </diagonal>
    </border>
  </borders>
  <cellStyleXfs count="3">
    <xf numFmtId="0" fontId="0" fillId="0" borderId="0"/>
    <xf numFmtId="0" fontId="2" fillId="6" borderId="3" applyNumberFormat="0" applyAlignment="0" applyProtection="0"/>
    <xf numFmtId="0" fontId="3" fillId="7" borderId="3" applyNumberFormat="0" applyAlignment="0" applyProtection="0"/>
  </cellStyleXfs>
  <cellXfs count="34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3" borderId="1" xfId="0" applyFill="1" applyBorder="1"/>
    <xf numFmtId="0" fontId="1" fillId="0" borderId="2" xfId="0" applyFont="1" applyBorder="1"/>
    <xf numFmtId="0" fontId="0" fillId="0" borderId="2" xfId="0" applyBorder="1"/>
    <xf numFmtId="0" fontId="0" fillId="4" borderId="1" xfId="0" applyFill="1" applyBorder="1"/>
    <xf numFmtId="0" fontId="0" fillId="5" borderId="1" xfId="0" applyFill="1" applyBorder="1"/>
    <xf numFmtId="0" fontId="2" fillId="6" borderId="3" xfId="1"/>
    <xf numFmtId="0" fontId="3" fillId="7" borderId="3" xfId="2"/>
    <xf numFmtId="2" fontId="2" fillId="6" borderId="3" xfId="1" applyNumberFormat="1"/>
    <xf numFmtId="0" fontId="0" fillId="8" borderId="1" xfId="0" applyFill="1" applyBorder="1"/>
    <xf numFmtId="0" fontId="1" fillId="0" borderId="0" xfId="0" applyFont="1" applyBorder="1"/>
    <xf numFmtId="0" fontId="0" fillId="9" borderId="1" xfId="0" applyFill="1" applyBorder="1"/>
    <xf numFmtId="0" fontId="0" fillId="0" borderId="0" xfId="0" applyBorder="1"/>
    <xf numFmtId="11" fontId="0" fillId="0" borderId="0" xfId="0" applyNumberFormat="1"/>
    <xf numFmtId="0" fontId="0" fillId="0" borderId="0" xfId="0" applyBorder="1" applyAlignment="1"/>
    <xf numFmtId="0" fontId="2" fillId="6" borderId="3" xfId="1" applyAlignment="1"/>
    <xf numFmtId="0" fontId="0" fillId="10" borderId="1" xfId="0" applyFill="1" applyBorder="1"/>
    <xf numFmtId="2" fontId="0" fillId="0" borderId="2" xfId="0" applyNumberFormat="1" applyFill="1" applyBorder="1"/>
    <xf numFmtId="0" fontId="0" fillId="0" borderId="2" xfId="0" applyFill="1" applyBorder="1"/>
    <xf numFmtId="0" fontId="0" fillId="0" borderId="0" xfId="0" applyFill="1"/>
    <xf numFmtId="0" fontId="1" fillId="0" borderId="2" xfId="0" applyFont="1" applyFill="1" applyBorder="1"/>
    <xf numFmtId="0" fontId="0" fillId="0" borderId="0" xfId="0" applyFill="1" applyBorder="1"/>
    <xf numFmtId="0" fontId="4" fillId="0" borderId="0" xfId="0" applyFont="1" applyFill="1"/>
    <xf numFmtId="0" fontId="0" fillId="0" borderId="4" xfId="0" applyFill="1" applyBorder="1"/>
    <xf numFmtId="0" fontId="3" fillId="0" borderId="0" xfId="2" applyFill="1" applyBorder="1"/>
    <xf numFmtId="2" fontId="3" fillId="7" borderId="3" xfId="2" applyNumberFormat="1"/>
    <xf numFmtId="0" fontId="4" fillId="0" borderId="0" xfId="0" applyFont="1"/>
    <xf numFmtId="0" fontId="0" fillId="11" borderId="0" xfId="0" applyFill="1"/>
    <xf numFmtId="0" fontId="0" fillId="12" borderId="1" xfId="0" applyFill="1" applyBorder="1"/>
    <xf numFmtId="0" fontId="7" fillId="0" borderId="0" xfId="0" applyFont="1"/>
    <xf numFmtId="2" fontId="0" fillId="0" borderId="0" xfId="0" applyNumberFormat="1"/>
    <xf numFmtId="0" fontId="2" fillId="6" borderId="3" xfId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C8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K$2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171450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7</xdr:row>
          <xdr:rowOff>0</xdr:rowOff>
        </xdr:from>
        <xdr:to>
          <xdr:col>8</xdr:col>
          <xdr:colOff>9525</xdr:colOff>
          <xdr:row>8</xdr:row>
          <xdr:rowOff>171450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Drop atomic bomb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152400</xdr:rowOff>
        </xdr:from>
        <xdr:to>
          <xdr:col>4</xdr:col>
          <xdr:colOff>0</xdr:colOff>
          <xdr:row>8</xdr:row>
          <xdr:rowOff>19050</xdr:rowOff>
        </xdr:to>
        <xdr:sp macro="" textlink="">
          <xdr:nvSpPr>
            <xdr:cNvPr id="2053" name="Selectievakje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Apply no-slip walls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21</xdr:row>
          <xdr:rowOff>0</xdr:rowOff>
        </xdr:from>
        <xdr:to>
          <xdr:col>7</xdr:col>
          <xdr:colOff>133350</xdr:colOff>
          <xdr:row>22</xdr:row>
          <xdr:rowOff>0</xdr:rowOff>
        </xdr:to>
        <xdr:sp macro="" textlink="">
          <xdr:nvSpPr>
            <xdr:cNvPr id="2057" name="Knop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Apply pattern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22</xdr:row>
          <xdr:rowOff>0</xdr:rowOff>
        </xdr:from>
        <xdr:to>
          <xdr:col>9</xdr:col>
          <xdr:colOff>962025</xdr:colOff>
          <xdr:row>23</xdr:row>
          <xdr:rowOff>19050</xdr:rowOff>
        </xdr:to>
        <xdr:sp macro="" textlink="">
          <xdr:nvSpPr>
            <xdr:cNvPr id="2060" name="Selectievakje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TURN OFF YPLUS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IH46"/>
  <sheetViews>
    <sheetView tabSelected="1" zoomScale="31" zoomScaleNormal="31" workbookViewId="0">
      <selection activeCell="BN66" sqref="BN66"/>
    </sheetView>
  </sheetViews>
  <sheetFormatPr defaultRowHeight="15" x14ac:dyDescent="0.25"/>
  <cols>
    <col min="1" max="242" width="2.7109375" customWidth="1"/>
  </cols>
  <sheetData>
    <row r="1" spans="1:242" ht="15" customHeight="1" x14ac:dyDescent="0.25">
      <c r="A1" s="2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  <c r="BR1" s="13"/>
      <c r="BS1" s="13"/>
      <c r="BT1" s="13"/>
      <c r="BU1" s="13"/>
      <c r="BV1" s="13"/>
      <c r="BW1" s="13"/>
      <c r="BX1" s="13"/>
      <c r="BY1" s="13"/>
      <c r="BZ1" s="13"/>
      <c r="CA1" s="13"/>
      <c r="CB1" s="13"/>
      <c r="CC1" s="13"/>
      <c r="CD1" s="13"/>
      <c r="CE1" s="13"/>
      <c r="CF1" s="13"/>
      <c r="CG1" s="13"/>
      <c r="CH1" s="13"/>
      <c r="CI1" s="13"/>
      <c r="CJ1" s="13"/>
      <c r="CK1" s="13"/>
      <c r="CL1" s="13"/>
      <c r="CM1" s="13"/>
      <c r="CN1" s="13"/>
      <c r="CO1" s="13"/>
      <c r="CP1" s="13"/>
      <c r="CQ1" s="13"/>
      <c r="CR1" s="13"/>
      <c r="CS1" s="13"/>
      <c r="CT1" s="13"/>
      <c r="CU1" s="13"/>
      <c r="CV1" s="13"/>
      <c r="CW1" s="13"/>
      <c r="CX1" s="13"/>
      <c r="CY1" s="13"/>
      <c r="CZ1" s="13"/>
      <c r="DA1" s="13"/>
      <c r="DB1" s="13"/>
      <c r="DC1" s="13"/>
      <c r="DD1" s="13"/>
      <c r="DE1" s="13"/>
      <c r="DF1" s="13"/>
      <c r="DG1" s="13"/>
      <c r="DH1" s="13"/>
      <c r="DI1" s="13"/>
      <c r="DJ1" s="13"/>
      <c r="DK1" s="13"/>
      <c r="DL1" s="13"/>
      <c r="DM1" s="13"/>
      <c r="DN1" s="13"/>
      <c r="DO1" s="13"/>
      <c r="DP1" s="13"/>
      <c r="DQ1" s="13"/>
      <c r="DR1" s="13"/>
      <c r="DS1" s="13"/>
      <c r="DT1" s="13"/>
      <c r="DU1" s="13"/>
      <c r="DV1" s="13"/>
      <c r="DW1" s="13"/>
      <c r="DX1" s="13"/>
      <c r="DY1" s="13"/>
      <c r="DZ1" s="13"/>
      <c r="EA1" s="13"/>
      <c r="EB1" s="13"/>
      <c r="EC1" s="13"/>
      <c r="ED1" s="13"/>
      <c r="EE1" s="13"/>
      <c r="EF1" s="13"/>
      <c r="EG1" s="13"/>
      <c r="EH1" s="13"/>
      <c r="EI1" s="13"/>
      <c r="EJ1" s="13"/>
      <c r="EK1" s="13"/>
      <c r="EL1" s="13"/>
      <c r="EM1" s="13"/>
      <c r="EN1" s="13"/>
      <c r="EO1" s="13"/>
      <c r="EP1" s="13"/>
      <c r="EQ1" s="13"/>
      <c r="ER1" s="13"/>
      <c r="ES1" s="13"/>
      <c r="ET1" s="13"/>
      <c r="EU1" s="13"/>
      <c r="EV1" s="13"/>
      <c r="EW1" s="13"/>
      <c r="EX1" s="13"/>
      <c r="EY1" s="13"/>
      <c r="EZ1" s="13"/>
      <c r="FA1" s="13"/>
      <c r="FB1" s="13"/>
      <c r="FC1" s="13"/>
      <c r="FD1" s="13"/>
      <c r="FE1" s="13"/>
      <c r="FF1" s="13"/>
      <c r="FG1" s="13"/>
      <c r="FH1" s="13"/>
      <c r="FI1" s="13"/>
      <c r="FJ1" s="13"/>
      <c r="FK1" s="13"/>
      <c r="FL1" s="13"/>
      <c r="FM1" s="13"/>
      <c r="FN1" s="13"/>
      <c r="FO1" s="13"/>
      <c r="FP1" s="13"/>
      <c r="FQ1" s="13"/>
      <c r="FR1" s="13"/>
      <c r="FS1" s="13"/>
      <c r="FT1" s="13"/>
      <c r="FU1" s="13"/>
      <c r="FV1" s="13"/>
      <c r="FW1" s="13"/>
      <c r="FX1" s="13"/>
      <c r="FY1" s="13"/>
      <c r="FZ1" s="13"/>
      <c r="GA1" s="13"/>
      <c r="GB1" s="13"/>
      <c r="GC1" s="13"/>
      <c r="GD1" s="13"/>
      <c r="GE1" s="13"/>
      <c r="GF1" s="13"/>
      <c r="GG1" s="13"/>
      <c r="GH1" s="13"/>
      <c r="GI1" s="13"/>
      <c r="GJ1" s="13"/>
      <c r="GK1" s="13"/>
      <c r="GL1" s="13"/>
      <c r="GM1" s="13"/>
      <c r="GN1" s="13"/>
      <c r="GO1" s="13"/>
      <c r="GP1" s="13"/>
      <c r="GQ1" s="13"/>
      <c r="GR1" s="13"/>
      <c r="GS1" s="13"/>
      <c r="GT1" s="13"/>
      <c r="GU1" s="13"/>
      <c r="GV1" s="13"/>
      <c r="GW1" s="13"/>
      <c r="GX1" s="13"/>
      <c r="GY1" s="13"/>
      <c r="GZ1" s="13"/>
      <c r="HA1" s="13"/>
      <c r="HB1" s="13"/>
      <c r="HC1" s="13"/>
      <c r="HD1" s="13"/>
      <c r="HE1" s="13"/>
      <c r="HF1" s="13"/>
      <c r="HG1" s="13"/>
      <c r="HH1" s="13"/>
      <c r="HI1" s="13"/>
      <c r="HJ1" s="13"/>
      <c r="HK1" s="13"/>
      <c r="HL1" s="13"/>
      <c r="HM1" s="13"/>
      <c r="HN1" s="13"/>
      <c r="HO1" s="13"/>
      <c r="HP1" s="13"/>
      <c r="HQ1" s="13"/>
      <c r="HR1" s="13"/>
      <c r="HS1" s="13"/>
      <c r="HT1" s="13"/>
      <c r="HU1" s="13"/>
      <c r="HV1" s="13"/>
      <c r="HW1" s="13"/>
      <c r="HX1" s="13"/>
      <c r="HY1" s="13"/>
      <c r="HZ1" s="13"/>
      <c r="IA1" s="13"/>
      <c r="IB1" s="13"/>
      <c r="IC1" s="13"/>
      <c r="ID1" s="13"/>
      <c r="IE1" s="13"/>
      <c r="IF1" s="13"/>
      <c r="IG1" s="13"/>
      <c r="IH1" s="2"/>
    </row>
    <row r="2" spans="1:242" ht="1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 t="s">
        <v>47</v>
      </c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7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7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7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7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2"/>
    </row>
    <row r="3" spans="1:242" ht="15" customHeight="1" x14ac:dyDescent="0.25">
      <c r="A3" s="2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7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7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7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7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2"/>
    </row>
    <row r="4" spans="1:242" ht="15" customHeight="1" x14ac:dyDescent="0.25">
      <c r="A4" s="2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3"/>
      <c r="AR4" s="3"/>
      <c r="AS4" s="3"/>
      <c r="AT4" s="3"/>
      <c r="AU4" s="1"/>
      <c r="AV4" s="1"/>
      <c r="AW4" s="1"/>
      <c r="AX4" s="1"/>
      <c r="AY4" s="1"/>
      <c r="AZ4" s="1"/>
      <c r="BA4" s="1"/>
      <c r="BB4" s="1"/>
      <c r="BC4" s="11"/>
      <c r="BD4" s="30"/>
      <c r="BE4" s="30"/>
      <c r="BF4" s="30"/>
      <c r="BG4" s="30"/>
      <c r="BH4" s="30"/>
      <c r="BI4" s="30"/>
      <c r="BJ4" s="30"/>
      <c r="BK4" s="30"/>
      <c r="BL4" s="30"/>
      <c r="BM4" s="30"/>
      <c r="BN4" s="30"/>
      <c r="BO4" s="30"/>
      <c r="BP4" s="11"/>
      <c r="BQ4" s="1"/>
      <c r="BR4" s="1"/>
      <c r="BS4" s="1"/>
      <c r="BT4" s="1"/>
      <c r="BU4" s="1"/>
      <c r="BV4" s="1"/>
      <c r="BW4" s="1"/>
      <c r="BX4" s="1"/>
      <c r="BY4" s="3"/>
      <c r="BZ4" s="3"/>
      <c r="CA4" s="3"/>
      <c r="CB4" s="3"/>
      <c r="CC4" s="1"/>
      <c r="CD4" s="1"/>
      <c r="CE4" s="1"/>
      <c r="CF4" s="1"/>
      <c r="CG4" s="1"/>
      <c r="CH4" s="1"/>
      <c r="CI4" s="1"/>
      <c r="CJ4" s="1"/>
      <c r="CK4" s="1"/>
      <c r="CL4" s="11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11"/>
      <c r="CZ4" s="1"/>
      <c r="DA4" s="1"/>
      <c r="DB4" s="1"/>
      <c r="DC4" s="1"/>
      <c r="DD4" s="1"/>
      <c r="DE4" s="1"/>
      <c r="DF4" s="1"/>
      <c r="DG4" s="1"/>
      <c r="DH4" s="1"/>
      <c r="DI4" s="3"/>
      <c r="DJ4" s="3"/>
      <c r="DK4" s="3"/>
      <c r="DL4" s="3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2"/>
    </row>
    <row r="5" spans="1:242" ht="1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3"/>
      <c r="AP5" s="11"/>
      <c r="AQ5" s="30"/>
      <c r="AR5" s="30"/>
      <c r="AS5" s="30"/>
      <c r="AT5" s="30"/>
      <c r="AU5" s="11"/>
      <c r="AV5" s="3"/>
      <c r="AW5" s="1"/>
      <c r="AX5" s="1"/>
      <c r="AY5" s="1"/>
      <c r="AZ5" s="1"/>
      <c r="BA5" s="1"/>
      <c r="BB5" s="1"/>
      <c r="BC5" s="7"/>
      <c r="BD5" s="30"/>
      <c r="BE5" s="30"/>
      <c r="BF5" s="30"/>
      <c r="BG5" s="30"/>
      <c r="BH5" s="30"/>
      <c r="BI5" s="30"/>
      <c r="BJ5" s="30"/>
      <c r="BK5" s="30"/>
      <c r="BL5" s="30"/>
      <c r="BM5" s="30"/>
      <c r="BN5" s="30"/>
      <c r="BO5" s="30"/>
      <c r="BP5" s="7"/>
      <c r="BQ5" s="1"/>
      <c r="BR5" s="1"/>
      <c r="BS5" s="1"/>
      <c r="BT5" s="1"/>
      <c r="BU5" s="1"/>
      <c r="BV5" s="1"/>
      <c r="BW5" s="3"/>
      <c r="BX5" s="11"/>
      <c r="BY5" s="30"/>
      <c r="BZ5" s="30"/>
      <c r="CA5" s="30"/>
      <c r="CB5" s="30"/>
      <c r="CC5" s="11"/>
      <c r="CD5" s="3"/>
      <c r="CE5" s="1"/>
      <c r="CF5" s="1"/>
      <c r="CG5" s="1"/>
      <c r="CH5" s="1"/>
      <c r="CI5" s="1"/>
      <c r="CJ5" s="1"/>
      <c r="CK5" s="1"/>
      <c r="CL5" s="7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7"/>
      <c r="CZ5" s="1"/>
      <c r="DA5" s="1"/>
      <c r="DB5" s="1"/>
      <c r="DC5" s="1"/>
      <c r="DD5" s="1"/>
      <c r="DE5" s="1"/>
      <c r="DF5" s="1"/>
      <c r="DG5" s="3"/>
      <c r="DH5" s="11"/>
      <c r="DI5" s="30"/>
      <c r="DJ5" s="30"/>
      <c r="DK5" s="30"/>
      <c r="DL5" s="30"/>
      <c r="DM5" s="11"/>
      <c r="DN5" s="3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2"/>
    </row>
    <row r="6" spans="1:242" ht="15" customHeight="1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1"/>
      <c r="AO6" s="30"/>
      <c r="AP6" s="30"/>
      <c r="AQ6" s="30"/>
      <c r="AR6" s="30"/>
      <c r="AS6" s="30"/>
      <c r="AT6" s="30"/>
      <c r="AU6" s="30"/>
      <c r="AV6" s="30"/>
      <c r="AW6" s="11"/>
      <c r="AX6" s="1"/>
      <c r="AY6" s="1"/>
      <c r="AZ6" s="1"/>
      <c r="BA6" s="1"/>
      <c r="BB6" s="1"/>
      <c r="BC6" s="1"/>
      <c r="BD6" s="11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11"/>
      <c r="BP6" s="1"/>
      <c r="BQ6" s="1"/>
      <c r="BR6" s="1"/>
      <c r="BS6" s="1"/>
      <c r="BT6" s="1"/>
      <c r="BU6" s="1"/>
      <c r="BV6" s="11"/>
      <c r="BW6" s="30"/>
      <c r="BX6" s="30"/>
      <c r="BY6" s="30"/>
      <c r="BZ6" s="30"/>
      <c r="CA6" s="30"/>
      <c r="CB6" s="30"/>
      <c r="CC6" s="30"/>
      <c r="CD6" s="30"/>
      <c r="CE6" s="11"/>
      <c r="CF6" s="1"/>
      <c r="CG6" s="1"/>
      <c r="CH6" s="1"/>
      <c r="CI6" s="1"/>
      <c r="CJ6" s="1"/>
      <c r="CK6" s="1"/>
      <c r="CL6" s="1"/>
      <c r="CM6" s="11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11"/>
      <c r="CY6" s="1"/>
      <c r="CZ6" s="1"/>
      <c r="DA6" s="1"/>
      <c r="DB6" s="1"/>
      <c r="DC6" s="1"/>
      <c r="DD6" s="1"/>
      <c r="DE6" s="1"/>
      <c r="DF6" s="11"/>
      <c r="DG6" s="30"/>
      <c r="DH6" s="30"/>
      <c r="DI6" s="30"/>
      <c r="DJ6" s="30"/>
      <c r="DK6" s="30"/>
      <c r="DL6" s="30"/>
      <c r="DM6" s="30"/>
      <c r="DN6" s="30"/>
      <c r="DO6" s="1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2"/>
    </row>
    <row r="7" spans="1:242" ht="15" customHeight="1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1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11"/>
      <c r="AY7" s="1"/>
      <c r="AZ7" s="1"/>
      <c r="BA7" s="1"/>
      <c r="BB7" s="1"/>
      <c r="BC7" s="1"/>
      <c r="BD7" s="1"/>
      <c r="BE7" s="11"/>
      <c r="BF7" s="30"/>
      <c r="BG7" s="30"/>
      <c r="BH7" s="30"/>
      <c r="BI7" s="30"/>
      <c r="BJ7" s="30"/>
      <c r="BK7" s="30"/>
      <c r="BL7" s="30"/>
      <c r="BM7" s="30"/>
      <c r="BN7" s="11"/>
      <c r="BO7" s="1"/>
      <c r="BP7" s="1"/>
      <c r="BQ7" s="1"/>
      <c r="BR7" s="1"/>
      <c r="BS7" s="1"/>
      <c r="BT7" s="1"/>
      <c r="BU7" s="11"/>
      <c r="BV7" s="30"/>
      <c r="BW7" s="30"/>
      <c r="BX7" s="30"/>
      <c r="BY7" s="30"/>
      <c r="BZ7" s="30"/>
      <c r="CA7" s="30"/>
      <c r="CB7" s="30"/>
      <c r="CC7" s="30"/>
      <c r="CD7" s="30"/>
      <c r="CE7" s="30"/>
      <c r="CF7" s="11"/>
      <c r="CG7" s="1"/>
      <c r="CH7" s="1"/>
      <c r="CI7" s="1"/>
      <c r="CJ7" s="1"/>
      <c r="CK7" s="1"/>
      <c r="CL7" s="1"/>
      <c r="CM7" s="1"/>
      <c r="CN7" s="11"/>
      <c r="CO7" s="30"/>
      <c r="CP7" s="30"/>
      <c r="CQ7" s="30"/>
      <c r="CR7" s="30"/>
      <c r="CS7" s="30"/>
      <c r="CT7" s="30"/>
      <c r="CU7" s="30"/>
      <c r="CV7" s="30"/>
      <c r="CW7" s="11"/>
      <c r="CX7" s="1"/>
      <c r="CY7" s="1"/>
      <c r="CZ7" s="1"/>
      <c r="DA7" s="1"/>
      <c r="DB7" s="1"/>
      <c r="DC7" s="1"/>
      <c r="DD7" s="1"/>
      <c r="DE7" s="11"/>
      <c r="DF7" s="30"/>
      <c r="DG7" s="30"/>
      <c r="DH7" s="30"/>
      <c r="DI7" s="30"/>
      <c r="DJ7" s="30"/>
      <c r="DK7" s="30"/>
      <c r="DL7" s="30"/>
      <c r="DM7" s="30"/>
      <c r="DN7" s="30"/>
      <c r="DO7" s="30"/>
      <c r="DP7" s="1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2"/>
    </row>
    <row r="8" spans="1:242" ht="15" customHeight="1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7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7"/>
      <c r="AZ8" s="1"/>
      <c r="BA8" s="1"/>
      <c r="BB8" s="1"/>
      <c r="BC8" s="1"/>
      <c r="BD8" s="1"/>
      <c r="BE8" s="1"/>
      <c r="BF8" s="3"/>
      <c r="BG8" s="11"/>
      <c r="BH8" s="30"/>
      <c r="BI8" s="30"/>
      <c r="BJ8" s="30"/>
      <c r="BK8" s="30"/>
      <c r="BL8" s="11"/>
      <c r="BM8" s="3"/>
      <c r="BN8" s="1"/>
      <c r="BO8" s="1"/>
      <c r="BP8" s="1"/>
      <c r="BQ8" s="1"/>
      <c r="BR8" s="1"/>
      <c r="BS8" s="1"/>
      <c r="BT8" s="7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7"/>
      <c r="CH8" s="1"/>
      <c r="CI8" s="1"/>
      <c r="CJ8" s="1"/>
      <c r="CK8" s="1"/>
      <c r="CL8" s="1"/>
      <c r="CM8" s="1"/>
      <c r="CN8" s="1"/>
      <c r="CO8" s="3"/>
      <c r="CP8" s="11"/>
      <c r="CQ8" s="30"/>
      <c r="CR8" s="30"/>
      <c r="CS8" s="30"/>
      <c r="CT8" s="30"/>
      <c r="CU8" s="11"/>
      <c r="CV8" s="3"/>
      <c r="CW8" s="1"/>
      <c r="CX8" s="1"/>
      <c r="CY8" s="1"/>
      <c r="CZ8" s="1"/>
      <c r="DA8" s="1"/>
      <c r="DB8" s="1"/>
      <c r="DC8" s="1"/>
      <c r="DD8" s="7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7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2"/>
    </row>
    <row r="9" spans="1:242" ht="15" customHeight="1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1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11"/>
      <c r="AZ9" s="1"/>
      <c r="BA9" s="1"/>
      <c r="BB9" s="1"/>
      <c r="BC9" s="1"/>
      <c r="BD9" s="1"/>
      <c r="BE9" s="1"/>
      <c r="BF9" s="1"/>
      <c r="BG9" s="1"/>
      <c r="BH9" s="3"/>
      <c r="BI9" s="3"/>
      <c r="BJ9" s="3"/>
      <c r="BK9" s="3"/>
      <c r="BL9" s="1"/>
      <c r="BM9" s="1"/>
      <c r="BN9" s="1"/>
      <c r="BO9" s="1"/>
      <c r="BP9" s="1"/>
      <c r="BQ9" s="1"/>
      <c r="BR9" s="1"/>
      <c r="BS9" s="1"/>
      <c r="BT9" s="11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11"/>
      <c r="CH9" s="1"/>
      <c r="CI9" s="1"/>
      <c r="CJ9" s="1"/>
      <c r="CK9" s="1"/>
      <c r="CL9" s="1"/>
      <c r="CM9" s="1"/>
      <c r="CN9" s="1"/>
      <c r="CO9" s="1"/>
      <c r="CP9" s="1"/>
      <c r="CQ9" s="3"/>
      <c r="CR9" s="3"/>
      <c r="CS9" s="3"/>
      <c r="CT9" s="3"/>
      <c r="CU9" s="1"/>
      <c r="CV9" s="1"/>
      <c r="CW9" s="1"/>
      <c r="CX9" s="1"/>
      <c r="CY9" s="1"/>
      <c r="CZ9" s="1"/>
      <c r="DA9" s="1"/>
      <c r="DB9" s="1"/>
      <c r="DC9" s="1"/>
      <c r="DD9" s="11"/>
      <c r="DE9" s="30"/>
      <c r="DF9" s="30"/>
      <c r="DG9" s="30"/>
      <c r="DH9" s="30"/>
      <c r="DI9" s="30"/>
      <c r="DJ9" s="30"/>
      <c r="DK9" s="30"/>
      <c r="DL9" s="30"/>
      <c r="DM9" s="30"/>
      <c r="DN9" s="30"/>
      <c r="DO9" s="30"/>
      <c r="DP9" s="30"/>
      <c r="DQ9" s="1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2"/>
    </row>
    <row r="10" spans="1:242" ht="15" customHeight="1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7"/>
      <c r="AL10" s="30"/>
      <c r="AM10" s="30"/>
      <c r="AN10" s="30"/>
      <c r="AO10" s="30"/>
      <c r="AP10" s="30"/>
      <c r="AQ10" s="30"/>
      <c r="AR10" s="30"/>
      <c r="AS10" s="30"/>
      <c r="AT10" s="30"/>
      <c r="AU10" s="30"/>
      <c r="AV10" s="30"/>
      <c r="AW10" s="30"/>
      <c r="AX10" s="30"/>
      <c r="AY10" s="30"/>
      <c r="AZ10" s="7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7"/>
      <c r="BT10" s="30"/>
      <c r="BU10" s="30"/>
      <c r="BV10" s="30"/>
      <c r="BW10" s="30"/>
      <c r="BX10" s="30"/>
      <c r="BY10" s="30"/>
      <c r="BZ10" s="30"/>
      <c r="CA10" s="30"/>
      <c r="CB10" s="30"/>
      <c r="CC10" s="30"/>
      <c r="CD10" s="30"/>
      <c r="CE10" s="30"/>
      <c r="CF10" s="30"/>
      <c r="CG10" s="30"/>
      <c r="CH10" s="7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7"/>
      <c r="DD10" s="30"/>
      <c r="DE10" s="30"/>
      <c r="DF10" s="30"/>
      <c r="DG10" s="30"/>
      <c r="DH10" s="30"/>
      <c r="DI10" s="30"/>
      <c r="DJ10" s="30"/>
      <c r="DK10" s="30"/>
      <c r="DL10" s="30"/>
      <c r="DM10" s="30"/>
      <c r="DN10" s="30"/>
      <c r="DO10" s="30"/>
      <c r="DP10" s="30"/>
      <c r="DQ10" s="30"/>
      <c r="DR10" s="7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2"/>
    </row>
    <row r="11" spans="1:242" ht="15" customHeight="1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7"/>
      <c r="AL11" s="30"/>
      <c r="AM11" s="30"/>
      <c r="AN11" s="30"/>
      <c r="AO11" s="30"/>
      <c r="AP11" s="30"/>
      <c r="AQ11" s="30"/>
      <c r="AR11" s="30"/>
      <c r="AS11" s="30"/>
      <c r="AT11" s="30"/>
      <c r="AU11" s="30"/>
      <c r="AV11" s="30"/>
      <c r="AW11" s="30"/>
      <c r="AX11" s="30"/>
      <c r="AY11" s="30"/>
      <c r="AZ11" s="7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7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7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7"/>
      <c r="DD11" s="30"/>
      <c r="DE11" s="30"/>
      <c r="DF11" s="30"/>
      <c r="DG11" s="30"/>
      <c r="DH11" s="30"/>
      <c r="DI11" s="30"/>
      <c r="DJ11" s="30"/>
      <c r="DK11" s="30"/>
      <c r="DL11" s="30"/>
      <c r="DM11" s="30"/>
      <c r="DN11" s="30"/>
      <c r="DO11" s="30"/>
      <c r="DP11" s="30"/>
      <c r="DQ11" s="30"/>
      <c r="DR11" s="7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2"/>
    </row>
    <row r="12" spans="1:242" ht="15" customHeight="1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7"/>
      <c r="AL12" s="30"/>
      <c r="AM12" s="30"/>
      <c r="AN12" s="30"/>
      <c r="AO12" s="30"/>
      <c r="AP12" s="30"/>
      <c r="AQ12" s="30"/>
      <c r="AR12" s="30"/>
      <c r="AS12" s="30"/>
      <c r="AT12" s="30"/>
      <c r="AU12" s="30"/>
      <c r="AV12" s="30"/>
      <c r="AW12" s="30"/>
      <c r="AX12" s="30"/>
      <c r="AY12" s="30"/>
      <c r="AZ12" s="7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7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7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7"/>
      <c r="DD12" s="30"/>
      <c r="DE12" s="30"/>
      <c r="DF12" s="30"/>
      <c r="DG12" s="30"/>
      <c r="DH12" s="30"/>
      <c r="DI12" s="30"/>
      <c r="DJ12" s="30"/>
      <c r="DK12" s="30"/>
      <c r="DL12" s="30"/>
      <c r="DM12" s="30"/>
      <c r="DN12" s="30"/>
      <c r="DO12" s="30"/>
      <c r="DP12" s="30"/>
      <c r="DQ12" s="30"/>
      <c r="DR12" s="7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2"/>
    </row>
    <row r="13" spans="1:242" ht="15" customHeight="1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7"/>
      <c r="AL13" s="30"/>
      <c r="AM13" s="30"/>
      <c r="AN13" s="30"/>
      <c r="AO13" s="30"/>
      <c r="AP13" s="30"/>
      <c r="AQ13" s="30"/>
      <c r="AR13" s="30"/>
      <c r="AS13" s="30"/>
      <c r="AT13" s="30"/>
      <c r="AU13" s="30"/>
      <c r="AV13" s="30"/>
      <c r="AW13" s="30"/>
      <c r="AX13" s="30"/>
      <c r="AY13" s="30"/>
      <c r="AZ13" s="7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7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0"/>
      <c r="CE13" s="30"/>
      <c r="CF13" s="30"/>
      <c r="CG13" s="30"/>
      <c r="CH13" s="7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7"/>
      <c r="DD13" s="30"/>
      <c r="DE13" s="30"/>
      <c r="DF13" s="30"/>
      <c r="DG13" s="30"/>
      <c r="DH13" s="30"/>
      <c r="DI13" s="30"/>
      <c r="DJ13" s="30"/>
      <c r="DK13" s="30"/>
      <c r="DL13" s="30"/>
      <c r="DM13" s="30"/>
      <c r="DN13" s="30"/>
      <c r="DO13" s="30"/>
      <c r="DP13" s="30"/>
      <c r="DQ13" s="30"/>
      <c r="DR13" s="7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2"/>
    </row>
    <row r="14" spans="1:242" ht="15" customHeight="1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1"/>
      <c r="AM14" s="30"/>
      <c r="AN14" s="30"/>
      <c r="AO14" s="30"/>
      <c r="AP14" s="30"/>
      <c r="AQ14" s="30"/>
      <c r="AR14" s="30"/>
      <c r="AS14" s="30"/>
      <c r="AT14" s="30"/>
      <c r="AU14" s="30"/>
      <c r="AV14" s="30"/>
      <c r="AW14" s="30"/>
      <c r="AX14" s="30"/>
      <c r="AY14" s="11"/>
      <c r="AZ14" s="1"/>
      <c r="BA14" s="1"/>
      <c r="BB14" s="1"/>
      <c r="BC14" s="1"/>
      <c r="BD14" s="1"/>
      <c r="BE14" s="1"/>
      <c r="BF14" s="1"/>
      <c r="BG14" s="1"/>
      <c r="BH14" s="3"/>
      <c r="BI14" s="3"/>
      <c r="BJ14" s="3"/>
      <c r="BK14" s="3"/>
      <c r="BL14" s="1"/>
      <c r="BM14" s="1"/>
      <c r="BN14" s="1"/>
      <c r="BO14" s="1"/>
      <c r="BP14" s="1"/>
      <c r="BQ14" s="1"/>
      <c r="BR14" s="1"/>
      <c r="BS14" s="1"/>
      <c r="BT14" s="11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11"/>
      <c r="CH14" s="1"/>
      <c r="CI14" s="1"/>
      <c r="CJ14" s="1"/>
      <c r="CK14" s="1"/>
      <c r="CL14" s="1"/>
      <c r="CM14" s="1"/>
      <c r="CN14" s="1"/>
      <c r="CO14" s="1"/>
      <c r="CP14" s="1"/>
      <c r="CQ14" s="3"/>
      <c r="CR14" s="3"/>
      <c r="CS14" s="3"/>
      <c r="CT14" s="3"/>
      <c r="CU14" s="1"/>
      <c r="CV14" s="1"/>
      <c r="CW14" s="1"/>
      <c r="CX14" s="1"/>
      <c r="CY14" s="1"/>
      <c r="CZ14" s="1"/>
      <c r="DA14" s="1"/>
      <c r="DB14" s="1"/>
      <c r="DC14" s="1"/>
      <c r="DD14" s="11"/>
      <c r="DE14" s="30"/>
      <c r="DF14" s="30"/>
      <c r="DG14" s="30"/>
      <c r="DH14" s="30"/>
      <c r="DI14" s="30"/>
      <c r="DJ14" s="30"/>
      <c r="DK14" s="30"/>
      <c r="DL14" s="30"/>
      <c r="DM14" s="30"/>
      <c r="DN14" s="30"/>
      <c r="DO14" s="30"/>
      <c r="DP14" s="30"/>
      <c r="DQ14" s="1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2"/>
    </row>
    <row r="15" spans="1:242" ht="15" customHeight="1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7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7"/>
      <c r="AZ15" s="1"/>
      <c r="BA15" s="1"/>
      <c r="BB15" s="1"/>
      <c r="BC15" s="1"/>
      <c r="BD15" s="1"/>
      <c r="BE15" s="1"/>
      <c r="BF15" s="3"/>
      <c r="BG15" s="11"/>
      <c r="BH15" s="30"/>
      <c r="BI15" s="30"/>
      <c r="BJ15" s="30"/>
      <c r="BK15" s="30"/>
      <c r="BL15" s="11"/>
      <c r="BM15" s="3"/>
      <c r="BN15" s="1"/>
      <c r="BO15" s="1"/>
      <c r="BP15" s="1"/>
      <c r="BQ15" s="1"/>
      <c r="BR15" s="1"/>
      <c r="BS15" s="1"/>
      <c r="BT15" s="7"/>
      <c r="BU15" s="30"/>
      <c r="BV15" s="30"/>
      <c r="BW15" s="30"/>
      <c r="BX15" s="30"/>
      <c r="BY15" s="30"/>
      <c r="BZ15" s="30"/>
      <c r="CA15" s="30"/>
      <c r="CB15" s="30"/>
      <c r="CC15" s="30"/>
      <c r="CD15" s="30"/>
      <c r="CE15" s="30"/>
      <c r="CF15" s="30"/>
      <c r="CG15" s="7"/>
      <c r="CH15" s="1"/>
      <c r="CI15" s="1"/>
      <c r="CJ15" s="1"/>
      <c r="CK15" s="1"/>
      <c r="CL15" s="1"/>
      <c r="CM15" s="1"/>
      <c r="CN15" s="1"/>
      <c r="CO15" s="3"/>
      <c r="CP15" s="11"/>
      <c r="CQ15" s="30"/>
      <c r="CR15" s="30"/>
      <c r="CS15" s="30"/>
      <c r="CT15" s="30"/>
      <c r="CU15" s="11"/>
      <c r="CV15" s="3"/>
      <c r="CW15" s="1"/>
      <c r="CX15" s="1"/>
      <c r="CY15" s="1"/>
      <c r="CZ15" s="1"/>
      <c r="DA15" s="1"/>
      <c r="DB15" s="1"/>
      <c r="DC15" s="1"/>
      <c r="DD15" s="7"/>
      <c r="DE15" s="30"/>
      <c r="DF15" s="30"/>
      <c r="DG15" s="30"/>
      <c r="DH15" s="30"/>
      <c r="DI15" s="30"/>
      <c r="DJ15" s="30"/>
      <c r="DK15" s="30"/>
      <c r="DL15" s="30"/>
      <c r="DM15" s="30"/>
      <c r="DN15" s="30"/>
      <c r="DO15" s="30"/>
      <c r="DP15" s="30"/>
      <c r="DQ15" s="7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2"/>
    </row>
    <row r="16" spans="1:242" ht="15" customHeight="1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1"/>
      <c r="AN16" s="30"/>
      <c r="AO16" s="30"/>
      <c r="AP16" s="30"/>
      <c r="AQ16" s="30"/>
      <c r="AR16" s="30"/>
      <c r="AS16" s="30"/>
      <c r="AT16" s="30"/>
      <c r="AU16" s="30"/>
      <c r="AV16" s="30"/>
      <c r="AW16" s="30"/>
      <c r="AX16" s="11"/>
      <c r="AY16" s="1"/>
      <c r="AZ16" s="1"/>
      <c r="BA16" s="1"/>
      <c r="BB16" s="1"/>
      <c r="BC16" s="1"/>
      <c r="BD16" s="1"/>
      <c r="BE16" s="11"/>
      <c r="BF16" s="30"/>
      <c r="BG16" s="30"/>
      <c r="BH16" s="30"/>
      <c r="BI16" s="30"/>
      <c r="BJ16" s="30"/>
      <c r="BK16" s="30"/>
      <c r="BL16" s="30"/>
      <c r="BM16" s="30"/>
      <c r="BN16" s="11"/>
      <c r="BO16" s="1"/>
      <c r="BP16" s="1"/>
      <c r="BQ16" s="1"/>
      <c r="BR16" s="1"/>
      <c r="BS16" s="1"/>
      <c r="BT16" s="1"/>
      <c r="BU16" s="11"/>
      <c r="BV16" s="30"/>
      <c r="BW16" s="30"/>
      <c r="BX16" s="30"/>
      <c r="BY16" s="30"/>
      <c r="BZ16" s="30"/>
      <c r="CA16" s="30"/>
      <c r="CB16" s="30"/>
      <c r="CC16" s="30"/>
      <c r="CD16" s="30"/>
      <c r="CE16" s="30"/>
      <c r="CF16" s="11"/>
      <c r="CG16" s="1"/>
      <c r="CH16" s="1"/>
      <c r="CI16" s="1"/>
      <c r="CJ16" s="1"/>
      <c r="CK16" s="1"/>
      <c r="CL16" s="1"/>
      <c r="CM16" s="1"/>
      <c r="CN16" s="11"/>
      <c r="CO16" s="30"/>
      <c r="CP16" s="30"/>
      <c r="CQ16" s="30"/>
      <c r="CR16" s="30"/>
      <c r="CS16" s="30"/>
      <c r="CT16" s="30"/>
      <c r="CU16" s="30"/>
      <c r="CV16" s="30"/>
      <c r="CW16" s="11"/>
      <c r="CX16" s="1"/>
      <c r="CY16" s="1"/>
      <c r="CZ16" s="1"/>
      <c r="DA16" s="1"/>
      <c r="DB16" s="1"/>
      <c r="DC16" s="1"/>
      <c r="DD16" s="1"/>
      <c r="DE16" s="11"/>
      <c r="DF16" s="30"/>
      <c r="DG16" s="30"/>
      <c r="DH16" s="30"/>
      <c r="DI16" s="30"/>
      <c r="DJ16" s="30"/>
      <c r="DK16" s="30"/>
      <c r="DL16" s="30"/>
      <c r="DM16" s="30"/>
      <c r="DN16" s="30"/>
      <c r="DO16" s="30"/>
      <c r="DP16" s="1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2"/>
    </row>
    <row r="17" spans="1:242" ht="15" customHeight="1" x14ac:dyDescent="0.25">
      <c r="A17" s="2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1"/>
      <c r="AO17" s="30"/>
      <c r="AP17" s="30"/>
      <c r="AQ17" s="30"/>
      <c r="AR17" s="30"/>
      <c r="AS17" s="30"/>
      <c r="AT17" s="30"/>
      <c r="AU17" s="30"/>
      <c r="AV17" s="30"/>
      <c r="AW17" s="11"/>
      <c r="AX17" s="1"/>
      <c r="AY17" s="1"/>
      <c r="AZ17" s="1"/>
      <c r="BA17" s="1"/>
      <c r="BB17" s="1"/>
      <c r="BC17" s="1"/>
      <c r="BD17" s="11"/>
      <c r="BE17" s="30"/>
      <c r="BF17" s="30"/>
      <c r="BG17" s="30"/>
      <c r="BH17" s="30"/>
      <c r="BI17" s="30"/>
      <c r="BJ17" s="30"/>
      <c r="BK17" s="30"/>
      <c r="BL17" s="30"/>
      <c r="BM17" s="30"/>
      <c r="BN17" s="30"/>
      <c r="BO17" s="11"/>
      <c r="BP17" s="1"/>
      <c r="BQ17" s="1"/>
      <c r="BR17" s="1"/>
      <c r="BS17" s="1"/>
      <c r="BT17" s="1"/>
      <c r="BU17" s="1"/>
      <c r="BV17" s="11"/>
      <c r="BW17" s="30"/>
      <c r="BX17" s="30"/>
      <c r="BY17" s="30"/>
      <c r="BZ17" s="30"/>
      <c r="CA17" s="30"/>
      <c r="CB17" s="30"/>
      <c r="CC17" s="30"/>
      <c r="CD17" s="30"/>
      <c r="CE17" s="11"/>
      <c r="CF17" s="1"/>
      <c r="CG17" s="1"/>
      <c r="CH17" s="1"/>
      <c r="CI17" s="1"/>
      <c r="CJ17" s="1"/>
      <c r="CK17" s="1"/>
      <c r="CL17" s="1"/>
      <c r="CM17" s="11"/>
      <c r="CN17" s="30"/>
      <c r="CO17" s="30"/>
      <c r="CP17" s="30"/>
      <c r="CQ17" s="30"/>
      <c r="CR17" s="30"/>
      <c r="CS17" s="30"/>
      <c r="CT17" s="30"/>
      <c r="CU17" s="30"/>
      <c r="CV17" s="30"/>
      <c r="CW17" s="30"/>
      <c r="CX17" s="11"/>
      <c r="CY17" s="1"/>
      <c r="CZ17" s="1"/>
      <c r="DA17" s="1"/>
      <c r="DB17" s="1"/>
      <c r="DC17" s="1"/>
      <c r="DD17" s="1"/>
      <c r="DE17" s="1"/>
      <c r="DF17" s="11"/>
      <c r="DG17" s="30"/>
      <c r="DH17" s="30"/>
      <c r="DI17" s="30"/>
      <c r="DJ17" s="30"/>
      <c r="DK17" s="30"/>
      <c r="DL17" s="30"/>
      <c r="DM17" s="30"/>
      <c r="DN17" s="30"/>
      <c r="DO17" s="1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2"/>
    </row>
    <row r="18" spans="1:242" ht="15" customHeight="1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3"/>
      <c r="AP18" s="11"/>
      <c r="AQ18" s="30"/>
      <c r="AR18" s="30"/>
      <c r="AS18" s="30"/>
      <c r="AT18" s="30"/>
      <c r="AU18" s="11"/>
      <c r="AV18" s="3"/>
      <c r="AW18" s="1"/>
      <c r="AX18" s="1"/>
      <c r="AY18" s="1"/>
      <c r="AZ18" s="1"/>
      <c r="BA18" s="1"/>
      <c r="BB18" s="1"/>
      <c r="BC18" s="7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7"/>
      <c r="BQ18" s="1"/>
      <c r="BR18" s="1"/>
      <c r="BS18" s="1"/>
      <c r="BT18" s="1"/>
      <c r="BU18" s="1"/>
      <c r="BV18" s="1"/>
      <c r="BW18" s="3"/>
      <c r="BX18" s="11"/>
      <c r="BY18" s="30"/>
      <c r="BZ18" s="30"/>
      <c r="CA18" s="30"/>
      <c r="CB18" s="30"/>
      <c r="CC18" s="11"/>
      <c r="CD18" s="3"/>
      <c r="CE18" s="1"/>
      <c r="CF18" s="1"/>
      <c r="CG18" s="1"/>
      <c r="CH18" s="1"/>
      <c r="CI18" s="1"/>
      <c r="CJ18" s="1"/>
      <c r="CK18" s="1"/>
      <c r="CL18" s="7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7"/>
      <c r="CZ18" s="1"/>
      <c r="DA18" s="1"/>
      <c r="DB18" s="1"/>
      <c r="DC18" s="1"/>
      <c r="DD18" s="1"/>
      <c r="DE18" s="1"/>
      <c r="DF18" s="1"/>
      <c r="DG18" s="3"/>
      <c r="DH18" s="11"/>
      <c r="DI18" s="30"/>
      <c r="DJ18" s="30"/>
      <c r="DK18" s="30"/>
      <c r="DL18" s="30"/>
      <c r="DM18" s="11"/>
      <c r="DN18" s="3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2"/>
    </row>
    <row r="19" spans="1:242" ht="15" customHeight="1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3"/>
      <c r="AR19" s="3"/>
      <c r="AS19" s="3"/>
      <c r="AT19" s="3"/>
      <c r="AU19" s="1"/>
      <c r="AV19" s="1"/>
      <c r="AW19" s="1"/>
      <c r="AX19" s="1"/>
      <c r="AY19" s="1"/>
      <c r="AZ19" s="1"/>
      <c r="BA19" s="1"/>
      <c r="BB19" s="1"/>
      <c r="BC19" s="11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11"/>
      <c r="BQ19" s="1"/>
      <c r="BR19" s="1"/>
      <c r="BS19" s="1"/>
      <c r="BT19" s="1"/>
      <c r="BU19" s="1"/>
      <c r="BV19" s="1"/>
      <c r="BW19" s="1"/>
      <c r="BX19" s="1"/>
      <c r="BY19" s="3"/>
      <c r="BZ19" s="3"/>
      <c r="CA19" s="3"/>
      <c r="CB19" s="3"/>
      <c r="CC19" s="1"/>
      <c r="CD19" s="1"/>
      <c r="CE19" s="1"/>
      <c r="CF19" s="1"/>
      <c r="CG19" s="1"/>
      <c r="CH19" s="1"/>
      <c r="CI19" s="1"/>
      <c r="CJ19" s="1"/>
      <c r="CK19" s="1"/>
      <c r="CL19" s="11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11"/>
      <c r="CZ19" s="1"/>
      <c r="DA19" s="1"/>
      <c r="DB19" s="1"/>
      <c r="DC19" s="1"/>
      <c r="DD19" s="1"/>
      <c r="DE19" s="1"/>
      <c r="DF19" s="1"/>
      <c r="DG19" s="1"/>
      <c r="DH19" s="1"/>
      <c r="DI19" s="3"/>
      <c r="DJ19" s="3"/>
      <c r="DK19" s="3"/>
      <c r="DL19" s="3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2"/>
    </row>
    <row r="20" spans="1:242" ht="15" customHeight="1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7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0"/>
      <c r="BQ20" s="7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7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7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2"/>
    </row>
    <row r="21" spans="1:242" ht="15" customHeight="1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7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7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7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7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2"/>
    </row>
    <row r="22" spans="1:242" ht="15" customHeight="1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7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  <c r="BP22" s="30"/>
      <c r="BQ22" s="7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7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7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2"/>
    </row>
    <row r="23" spans="1:242" ht="15" customHeight="1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7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7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7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7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2"/>
    </row>
    <row r="24" spans="1:242" ht="15" customHeight="1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3"/>
      <c r="AR24" s="3"/>
      <c r="AS24" s="3"/>
      <c r="AT24" s="3"/>
      <c r="AU24" s="1"/>
      <c r="AV24" s="1"/>
      <c r="AW24" s="1"/>
      <c r="AX24" s="1"/>
      <c r="AY24" s="1"/>
      <c r="AZ24" s="1"/>
      <c r="BA24" s="1"/>
      <c r="BB24" s="1"/>
      <c r="BC24" s="11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  <c r="BP24" s="11"/>
      <c r="BQ24" s="1"/>
      <c r="BR24" s="1"/>
      <c r="BS24" s="1"/>
      <c r="BT24" s="1"/>
      <c r="BU24" s="1"/>
      <c r="BV24" s="1"/>
      <c r="BW24" s="1"/>
      <c r="BX24" s="1"/>
      <c r="BY24" s="3"/>
      <c r="BZ24" s="3"/>
      <c r="CA24" s="3"/>
      <c r="CB24" s="3"/>
      <c r="CC24" s="1"/>
      <c r="CD24" s="1"/>
      <c r="CE24" s="1"/>
      <c r="CF24" s="1"/>
      <c r="CG24" s="1"/>
      <c r="CH24" s="1"/>
      <c r="CI24" s="1"/>
      <c r="CJ24" s="1"/>
      <c r="CK24" s="1"/>
      <c r="CL24" s="11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11"/>
      <c r="CZ24" s="1"/>
      <c r="DA24" s="1"/>
      <c r="DB24" s="1"/>
      <c r="DC24" s="1"/>
      <c r="DD24" s="1"/>
      <c r="DE24" s="1"/>
      <c r="DF24" s="1"/>
      <c r="DG24" s="1"/>
      <c r="DH24" s="1"/>
      <c r="DI24" s="3"/>
      <c r="DJ24" s="3"/>
      <c r="DK24" s="3"/>
      <c r="DL24" s="3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2"/>
    </row>
    <row r="25" spans="1:242" ht="15" customHeight="1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3"/>
      <c r="AP25" s="11"/>
      <c r="AQ25" s="30"/>
      <c r="AR25" s="30"/>
      <c r="AS25" s="30"/>
      <c r="AT25" s="30"/>
      <c r="AU25" s="11"/>
      <c r="AV25" s="3"/>
      <c r="AW25" s="1"/>
      <c r="AX25" s="1"/>
      <c r="AY25" s="1"/>
      <c r="AZ25" s="1"/>
      <c r="BA25" s="1"/>
      <c r="BB25" s="1"/>
      <c r="BC25" s="7"/>
      <c r="BD25" s="30"/>
      <c r="BE25" s="30"/>
      <c r="BF25" s="30"/>
      <c r="BG25" s="30"/>
      <c r="BH25" s="30"/>
      <c r="BI25" s="30"/>
      <c r="BJ25" s="30"/>
      <c r="BK25" s="30"/>
      <c r="BL25" s="30"/>
      <c r="BM25" s="30"/>
      <c r="BN25" s="30"/>
      <c r="BO25" s="30"/>
      <c r="BP25" s="7"/>
      <c r="BQ25" s="1"/>
      <c r="BR25" s="1"/>
      <c r="BS25" s="1"/>
      <c r="BT25" s="1"/>
      <c r="BU25" s="1"/>
      <c r="BV25" s="1"/>
      <c r="BW25" s="3"/>
      <c r="BX25" s="11"/>
      <c r="BY25" s="30"/>
      <c r="BZ25" s="30"/>
      <c r="CA25" s="30"/>
      <c r="CB25" s="30"/>
      <c r="CC25" s="11"/>
      <c r="CD25" s="3"/>
      <c r="CE25" s="1"/>
      <c r="CF25" s="1"/>
      <c r="CG25" s="1"/>
      <c r="CH25" s="1"/>
      <c r="CI25" s="1"/>
      <c r="CJ25" s="1"/>
      <c r="CK25" s="1"/>
      <c r="CL25" s="7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7"/>
      <c r="CZ25" s="1"/>
      <c r="DA25" s="1"/>
      <c r="DB25" s="1"/>
      <c r="DC25" s="1"/>
      <c r="DD25" s="1"/>
      <c r="DE25" s="1"/>
      <c r="DF25" s="1"/>
      <c r="DG25" s="3"/>
      <c r="DH25" s="11"/>
      <c r="DI25" s="30"/>
      <c r="DJ25" s="30"/>
      <c r="DK25" s="30"/>
      <c r="DL25" s="30"/>
      <c r="DM25" s="11"/>
      <c r="DN25" s="3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2"/>
    </row>
    <row r="26" spans="1:242" ht="15" customHeight="1" x14ac:dyDescent="0.25">
      <c r="A26" s="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1"/>
      <c r="AO26" s="30"/>
      <c r="AP26" s="30"/>
      <c r="AQ26" s="30"/>
      <c r="AR26" s="30"/>
      <c r="AS26" s="30"/>
      <c r="AT26" s="30"/>
      <c r="AU26" s="30"/>
      <c r="AV26" s="30"/>
      <c r="AW26" s="11"/>
      <c r="AX26" s="1"/>
      <c r="AY26" s="1"/>
      <c r="AZ26" s="1"/>
      <c r="BA26" s="1"/>
      <c r="BB26" s="1"/>
      <c r="BC26" s="1"/>
      <c r="BD26" s="11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11"/>
      <c r="BP26" s="1"/>
      <c r="BQ26" s="1"/>
      <c r="BR26" s="1"/>
      <c r="BS26" s="1"/>
      <c r="BT26" s="1"/>
      <c r="BU26" s="1"/>
      <c r="BV26" s="11"/>
      <c r="BW26" s="30"/>
      <c r="BX26" s="30"/>
      <c r="BY26" s="30"/>
      <c r="BZ26" s="30"/>
      <c r="CA26" s="30"/>
      <c r="CB26" s="30"/>
      <c r="CC26" s="30"/>
      <c r="CD26" s="30"/>
      <c r="CE26" s="11"/>
      <c r="CF26" s="1"/>
      <c r="CG26" s="1"/>
      <c r="CH26" s="1"/>
      <c r="CI26" s="1"/>
      <c r="CJ26" s="1"/>
      <c r="CK26" s="1"/>
      <c r="CL26" s="1"/>
      <c r="CM26" s="11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11"/>
      <c r="CY26" s="1"/>
      <c r="CZ26" s="1"/>
      <c r="DA26" s="1"/>
      <c r="DB26" s="1"/>
      <c r="DC26" s="1"/>
      <c r="DD26" s="1"/>
      <c r="DE26" s="1"/>
      <c r="DF26" s="11"/>
      <c r="DG26" s="30"/>
      <c r="DH26" s="30"/>
      <c r="DI26" s="30"/>
      <c r="DJ26" s="30"/>
      <c r="DK26" s="30"/>
      <c r="DL26" s="30"/>
      <c r="DM26" s="30"/>
      <c r="DN26" s="30"/>
      <c r="DO26" s="1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2"/>
    </row>
    <row r="27" spans="1:242" ht="15" customHeight="1" x14ac:dyDescent="0.25">
      <c r="A27" s="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1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11"/>
      <c r="AY27" s="1"/>
      <c r="AZ27" s="1"/>
      <c r="BA27" s="1"/>
      <c r="BB27" s="1"/>
      <c r="BC27" s="1"/>
      <c r="BD27" s="1"/>
      <c r="BE27" s="11"/>
      <c r="BF27" s="30"/>
      <c r="BG27" s="30"/>
      <c r="BH27" s="30"/>
      <c r="BI27" s="30"/>
      <c r="BJ27" s="30"/>
      <c r="BK27" s="30"/>
      <c r="BL27" s="30"/>
      <c r="BM27" s="30"/>
      <c r="BN27" s="11"/>
      <c r="BO27" s="1"/>
      <c r="BP27" s="1"/>
      <c r="BQ27" s="1"/>
      <c r="BR27" s="1"/>
      <c r="BS27" s="1"/>
      <c r="BT27" s="1"/>
      <c r="BU27" s="11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11"/>
      <c r="CG27" s="1"/>
      <c r="CH27" s="1"/>
      <c r="CI27" s="1"/>
      <c r="CJ27" s="1"/>
      <c r="CK27" s="1"/>
      <c r="CL27" s="1"/>
      <c r="CM27" s="1"/>
      <c r="CN27" s="11"/>
      <c r="CO27" s="30"/>
      <c r="CP27" s="30"/>
      <c r="CQ27" s="30"/>
      <c r="CR27" s="30"/>
      <c r="CS27" s="30"/>
      <c r="CT27" s="30"/>
      <c r="CU27" s="30"/>
      <c r="CV27" s="30"/>
      <c r="CW27" s="11"/>
      <c r="CX27" s="1"/>
      <c r="CY27" s="1"/>
      <c r="CZ27" s="1"/>
      <c r="DA27" s="1"/>
      <c r="DB27" s="1"/>
      <c r="DC27" s="1"/>
      <c r="DD27" s="1"/>
      <c r="DE27" s="11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1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2"/>
    </row>
    <row r="28" spans="1:242" ht="15" customHeight="1" x14ac:dyDescent="0.25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7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7"/>
      <c r="AZ28" s="1"/>
      <c r="BA28" s="1"/>
      <c r="BB28" s="1"/>
      <c r="BC28" s="1"/>
      <c r="BD28" s="1"/>
      <c r="BE28" s="1"/>
      <c r="BF28" s="3"/>
      <c r="BG28" s="11"/>
      <c r="BH28" s="30"/>
      <c r="BI28" s="30"/>
      <c r="BJ28" s="30"/>
      <c r="BK28" s="30"/>
      <c r="BL28" s="11"/>
      <c r="BM28" s="3"/>
      <c r="BN28" s="1"/>
      <c r="BO28" s="1"/>
      <c r="BP28" s="1"/>
      <c r="BQ28" s="1"/>
      <c r="BR28" s="1"/>
      <c r="BS28" s="1"/>
      <c r="BT28" s="7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7"/>
      <c r="CH28" s="1"/>
      <c r="CI28" s="1"/>
      <c r="CJ28" s="1"/>
      <c r="CK28" s="1"/>
      <c r="CL28" s="1"/>
      <c r="CM28" s="1"/>
      <c r="CN28" s="1"/>
      <c r="CO28" s="3"/>
      <c r="CP28" s="11"/>
      <c r="CQ28" s="30"/>
      <c r="CR28" s="30"/>
      <c r="CS28" s="30"/>
      <c r="CT28" s="30"/>
      <c r="CU28" s="11"/>
      <c r="CV28" s="3"/>
      <c r="CW28" s="1"/>
      <c r="CX28" s="1"/>
      <c r="CY28" s="1"/>
      <c r="CZ28" s="1"/>
      <c r="DA28" s="1"/>
      <c r="DB28" s="1"/>
      <c r="DC28" s="1"/>
      <c r="DD28" s="7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7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2"/>
    </row>
    <row r="29" spans="1:242" ht="15" customHeight="1" x14ac:dyDescent="0.25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1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11"/>
      <c r="AZ29" s="1"/>
      <c r="BA29" s="1"/>
      <c r="BB29" s="1"/>
      <c r="BC29" s="1"/>
      <c r="BD29" s="1"/>
      <c r="BE29" s="1"/>
      <c r="BF29" s="1"/>
      <c r="BG29" s="1"/>
      <c r="BH29" s="3"/>
      <c r="BI29" s="3"/>
      <c r="BJ29" s="3"/>
      <c r="BK29" s="3"/>
      <c r="BL29" s="1"/>
      <c r="BM29" s="1"/>
      <c r="BN29" s="1"/>
      <c r="BO29" s="1"/>
      <c r="BP29" s="1"/>
      <c r="BQ29" s="1"/>
      <c r="BR29" s="1"/>
      <c r="BS29" s="1"/>
      <c r="BT29" s="11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11"/>
      <c r="CH29" s="1"/>
      <c r="CI29" s="1"/>
      <c r="CJ29" s="1"/>
      <c r="CK29" s="1"/>
      <c r="CL29" s="1"/>
      <c r="CM29" s="1"/>
      <c r="CN29" s="1"/>
      <c r="CO29" s="1"/>
      <c r="CP29" s="1"/>
      <c r="CQ29" s="3"/>
      <c r="CR29" s="3"/>
      <c r="CS29" s="3"/>
      <c r="CT29" s="3"/>
      <c r="CU29" s="1"/>
      <c r="CV29" s="1"/>
      <c r="CW29" s="1"/>
      <c r="CX29" s="1"/>
      <c r="CY29" s="1"/>
      <c r="CZ29" s="1"/>
      <c r="DA29" s="1"/>
      <c r="DB29" s="1"/>
      <c r="DC29" s="1"/>
      <c r="DD29" s="11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1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2"/>
    </row>
    <row r="30" spans="1:242" ht="15" customHeight="1" x14ac:dyDescent="0.25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7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7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7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7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7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  <c r="DR30" s="7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2"/>
    </row>
    <row r="31" spans="1:242" ht="15" customHeight="1" x14ac:dyDescent="0.25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7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7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7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7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7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  <c r="DR31" s="7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2"/>
    </row>
    <row r="32" spans="1:242" ht="15" customHeight="1" x14ac:dyDescent="0.25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7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7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7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7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7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  <c r="DR32" s="7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2"/>
    </row>
    <row r="33" spans="1:242" ht="15" customHeight="1" x14ac:dyDescent="0.25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7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7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7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7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7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  <c r="DR33" s="7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2"/>
    </row>
    <row r="34" spans="1:242" ht="15" customHeight="1" x14ac:dyDescent="0.25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1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11"/>
      <c r="AZ34" s="1"/>
      <c r="BA34" s="1"/>
      <c r="BB34" s="1"/>
      <c r="BC34" s="1"/>
      <c r="BD34" s="1"/>
      <c r="BE34" s="1"/>
      <c r="BF34" s="1"/>
      <c r="BG34" s="1"/>
      <c r="BH34" s="3"/>
      <c r="BI34" s="3"/>
      <c r="BJ34" s="3"/>
      <c r="BK34" s="3"/>
      <c r="BL34" s="1"/>
      <c r="BM34" s="1"/>
      <c r="BN34" s="1"/>
      <c r="BO34" s="1"/>
      <c r="BP34" s="1"/>
      <c r="BQ34" s="1"/>
      <c r="BR34" s="1"/>
      <c r="BS34" s="1"/>
      <c r="BT34" s="11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11"/>
      <c r="CH34" s="1"/>
      <c r="CI34" s="1"/>
      <c r="CJ34" s="1"/>
      <c r="CK34" s="1"/>
      <c r="CL34" s="1"/>
      <c r="CM34" s="1"/>
      <c r="CN34" s="1"/>
      <c r="CO34" s="1"/>
      <c r="CP34" s="1"/>
      <c r="CQ34" s="3"/>
      <c r="CR34" s="3"/>
      <c r="CS34" s="3"/>
      <c r="CT34" s="3"/>
      <c r="CU34" s="1"/>
      <c r="CV34" s="1"/>
      <c r="CW34" s="1"/>
      <c r="CX34" s="1"/>
      <c r="CY34" s="1"/>
      <c r="CZ34" s="1"/>
      <c r="DA34" s="1"/>
      <c r="DB34" s="1"/>
      <c r="DC34" s="1"/>
      <c r="DD34" s="11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1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2"/>
    </row>
    <row r="35" spans="1:242" ht="15" customHeight="1" x14ac:dyDescent="0.25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7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7"/>
      <c r="AZ35" s="1"/>
      <c r="BA35" s="1"/>
      <c r="BB35" s="1"/>
      <c r="BC35" s="1"/>
      <c r="BD35" s="1"/>
      <c r="BE35" s="1"/>
      <c r="BF35" s="3"/>
      <c r="BG35" s="11"/>
      <c r="BH35" s="30"/>
      <c r="BI35" s="30"/>
      <c r="BJ35" s="30"/>
      <c r="BK35" s="30"/>
      <c r="BL35" s="11"/>
      <c r="BM35" s="3"/>
      <c r="BN35" s="1"/>
      <c r="BO35" s="1"/>
      <c r="BP35" s="1"/>
      <c r="BQ35" s="1"/>
      <c r="BR35" s="1"/>
      <c r="BS35" s="1"/>
      <c r="BT35" s="7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7"/>
      <c r="CH35" s="1"/>
      <c r="CI35" s="1"/>
      <c r="CJ35" s="1"/>
      <c r="CK35" s="1"/>
      <c r="CL35" s="1"/>
      <c r="CM35" s="1"/>
      <c r="CN35" s="1"/>
      <c r="CO35" s="3"/>
      <c r="CP35" s="11"/>
      <c r="CQ35" s="30"/>
      <c r="CR35" s="30"/>
      <c r="CS35" s="30"/>
      <c r="CT35" s="30"/>
      <c r="CU35" s="11"/>
      <c r="CV35" s="3"/>
      <c r="CW35" s="1"/>
      <c r="CX35" s="1"/>
      <c r="CY35" s="1"/>
      <c r="CZ35" s="1"/>
      <c r="DA35" s="1"/>
      <c r="DB35" s="1"/>
      <c r="DC35" s="1"/>
      <c r="DD35" s="7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7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2"/>
    </row>
    <row r="36" spans="1:242" ht="15" customHeight="1" x14ac:dyDescent="0.25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1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11"/>
      <c r="AY36" s="1"/>
      <c r="AZ36" s="1"/>
      <c r="BA36" s="1"/>
      <c r="BB36" s="1"/>
      <c r="BC36" s="1"/>
      <c r="BD36" s="1"/>
      <c r="BE36" s="11"/>
      <c r="BF36" s="30"/>
      <c r="BG36" s="30"/>
      <c r="BH36" s="30"/>
      <c r="BI36" s="30"/>
      <c r="BJ36" s="30"/>
      <c r="BK36" s="30"/>
      <c r="BL36" s="30"/>
      <c r="BM36" s="30"/>
      <c r="BN36" s="11"/>
      <c r="BO36" s="1"/>
      <c r="BP36" s="1"/>
      <c r="BQ36" s="1"/>
      <c r="BR36" s="1"/>
      <c r="BS36" s="1"/>
      <c r="BT36" s="1"/>
      <c r="BU36" s="11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11"/>
      <c r="CG36" s="1"/>
      <c r="CH36" s="1"/>
      <c r="CI36" s="1"/>
      <c r="CJ36" s="1"/>
      <c r="CK36" s="1"/>
      <c r="CL36" s="1"/>
      <c r="CM36" s="1"/>
      <c r="CN36" s="11"/>
      <c r="CO36" s="30"/>
      <c r="CP36" s="30"/>
      <c r="CQ36" s="30"/>
      <c r="CR36" s="30"/>
      <c r="CS36" s="30"/>
      <c r="CT36" s="30"/>
      <c r="CU36" s="30"/>
      <c r="CV36" s="30"/>
      <c r="CW36" s="11"/>
      <c r="CX36" s="1"/>
      <c r="CY36" s="1"/>
      <c r="CZ36" s="1"/>
      <c r="DA36" s="1"/>
      <c r="DB36" s="1"/>
      <c r="DC36" s="1"/>
      <c r="DD36" s="1"/>
      <c r="DE36" s="11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1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2"/>
    </row>
    <row r="37" spans="1:242" ht="15" customHeight="1" x14ac:dyDescent="0.25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1"/>
      <c r="AO37" s="30"/>
      <c r="AP37" s="30"/>
      <c r="AQ37" s="30"/>
      <c r="AR37" s="30"/>
      <c r="AS37" s="30"/>
      <c r="AT37" s="30"/>
      <c r="AU37" s="30"/>
      <c r="AV37" s="30"/>
      <c r="AW37" s="11"/>
      <c r="AX37" s="1"/>
      <c r="AY37" s="1"/>
      <c r="AZ37" s="1"/>
      <c r="BA37" s="1"/>
      <c r="BB37" s="1"/>
      <c r="BC37" s="1"/>
      <c r="BD37" s="11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11"/>
      <c r="BP37" s="1"/>
      <c r="BQ37" s="1"/>
      <c r="BR37" s="1"/>
      <c r="BS37" s="1"/>
      <c r="BT37" s="1"/>
      <c r="BU37" s="1"/>
      <c r="BV37" s="11"/>
      <c r="BW37" s="30"/>
      <c r="BX37" s="30"/>
      <c r="BY37" s="30"/>
      <c r="BZ37" s="30"/>
      <c r="CA37" s="30"/>
      <c r="CB37" s="30"/>
      <c r="CC37" s="30"/>
      <c r="CD37" s="30"/>
      <c r="CE37" s="11"/>
      <c r="CF37" s="1"/>
      <c r="CG37" s="1"/>
      <c r="CH37" s="1"/>
      <c r="CI37" s="1"/>
      <c r="CJ37" s="1"/>
      <c r="CK37" s="1"/>
      <c r="CL37" s="1"/>
      <c r="CM37" s="11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11"/>
      <c r="CY37" s="1"/>
      <c r="CZ37" s="1"/>
      <c r="DA37" s="1"/>
      <c r="DB37" s="1"/>
      <c r="DC37" s="1"/>
      <c r="DD37" s="1"/>
      <c r="DE37" s="1"/>
      <c r="DF37" s="11"/>
      <c r="DG37" s="30"/>
      <c r="DH37" s="30"/>
      <c r="DI37" s="30"/>
      <c r="DJ37" s="30"/>
      <c r="DK37" s="30"/>
      <c r="DL37" s="30"/>
      <c r="DM37" s="30"/>
      <c r="DN37" s="30"/>
      <c r="DO37" s="1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2"/>
    </row>
    <row r="38" spans="1:242" ht="15" customHeight="1" x14ac:dyDescent="0.25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3"/>
      <c r="AP38" s="11"/>
      <c r="AQ38" s="30"/>
      <c r="AR38" s="30"/>
      <c r="AS38" s="30"/>
      <c r="AT38" s="30"/>
      <c r="AU38" s="11"/>
      <c r="AV38" s="3"/>
      <c r="AW38" s="1"/>
      <c r="AX38" s="1"/>
      <c r="AY38" s="1"/>
      <c r="AZ38" s="1"/>
      <c r="BA38" s="1"/>
      <c r="BB38" s="1"/>
      <c r="BC38" s="7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7"/>
      <c r="BQ38" s="1"/>
      <c r="BR38" s="1"/>
      <c r="BS38" s="1"/>
      <c r="BT38" s="1"/>
      <c r="BU38" s="1"/>
      <c r="BV38" s="1"/>
      <c r="BW38" s="3"/>
      <c r="BX38" s="11"/>
      <c r="BY38" s="30"/>
      <c r="BZ38" s="30"/>
      <c r="CA38" s="30"/>
      <c r="CB38" s="30"/>
      <c r="CC38" s="11"/>
      <c r="CD38" s="3"/>
      <c r="CE38" s="1"/>
      <c r="CF38" s="1"/>
      <c r="CG38" s="1"/>
      <c r="CH38" s="1"/>
      <c r="CI38" s="1"/>
      <c r="CJ38" s="1"/>
      <c r="CK38" s="1"/>
      <c r="CL38" s="7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7"/>
      <c r="CZ38" s="1"/>
      <c r="DA38" s="1"/>
      <c r="DB38" s="1"/>
      <c r="DC38" s="1"/>
      <c r="DD38" s="1"/>
      <c r="DE38" s="1"/>
      <c r="DF38" s="1"/>
      <c r="DG38" s="3"/>
      <c r="DH38" s="11"/>
      <c r="DI38" s="30"/>
      <c r="DJ38" s="30"/>
      <c r="DK38" s="30"/>
      <c r="DL38" s="30"/>
      <c r="DM38" s="11"/>
      <c r="DN38" s="3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2"/>
    </row>
    <row r="39" spans="1:242" ht="15" customHeight="1" x14ac:dyDescent="0.25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3"/>
      <c r="AR39" s="3"/>
      <c r="AS39" s="3"/>
      <c r="AT39" s="3"/>
      <c r="AU39" s="1"/>
      <c r="AV39" s="1"/>
      <c r="AW39" s="1"/>
      <c r="AX39" s="1"/>
      <c r="AY39" s="1"/>
      <c r="AZ39" s="1"/>
      <c r="BA39" s="1"/>
      <c r="BB39" s="1"/>
      <c r="BC39" s="11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11"/>
      <c r="BQ39" s="1"/>
      <c r="BR39" s="1"/>
      <c r="BS39" s="1"/>
      <c r="BT39" s="1"/>
      <c r="BU39" s="1"/>
      <c r="BV39" s="1"/>
      <c r="BW39" s="1"/>
      <c r="BX39" s="1"/>
      <c r="BY39" s="3"/>
      <c r="BZ39" s="3"/>
      <c r="CA39" s="3"/>
      <c r="CB39" s="3"/>
      <c r="CC39" s="1"/>
      <c r="CD39" s="1"/>
      <c r="CE39" s="1"/>
      <c r="CF39" s="1"/>
      <c r="CG39" s="1"/>
      <c r="CH39" s="1"/>
      <c r="CI39" s="1"/>
      <c r="CJ39" s="1"/>
      <c r="CK39" s="1"/>
      <c r="CL39" s="11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11"/>
      <c r="CZ39" s="1"/>
      <c r="DA39" s="1"/>
      <c r="DB39" s="1"/>
      <c r="DC39" s="1"/>
      <c r="DD39" s="1"/>
      <c r="DE39" s="1"/>
      <c r="DF39" s="1"/>
      <c r="DG39" s="1"/>
      <c r="DH39" s="1"/>
      <c r="DI39" s="3"/>
      <c r="DJ39" s="3"/>
      <c r="DK39" s="3"/>
      <c r="DL39" s="3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2"/>
    </row>
    <row r="40" spans="1:242" ht="15" customHeight="1" x14ac:dyDescent="0.25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7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7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7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7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2"/>
    </row>
    <row r="41" spans="1:242" ht="15" customHeight="1" x14ac:dyDescent="0.25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7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7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7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7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2"/>
    </row>
    <row r="42" spans="1:242" ht="15" customHeight="1" x14ac:dyDescent="0.25">
      <c r="A42" s="2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  <c r="GD42" s="13"/>
      <c r="GE42" s="13"/>
      <c r="GF42" s="13"/>
      <c r="GG42" s="13"/>
      <c r="GH42" s="13"/>
      <c r="GI42" s="13"/>
      <c r="GJ42" s="13"/>
      <c r="GK42" s="13"/>
      <c r="GL42" s="13"/>
      <c r="GM42" s="13"/>
      <c r="GN42" s="13"/>
      <c r="GO42" s="13"/>
      <c r="GP42" s="13"/>
      <c r="GQ42" s="13"/>
      <c r="GR42" s="13"/>
      <c r="GS42" s="13"/>
      <c r="GT42" s="13"/>
      <c r="GU42" s="13"/>
      <c r="GV42" s="13"/>
      <c r="GW42" s="13"/>
      <c r="GX42" s="13"/>
      <c r="GY42" s="13"/>
      <c r="GZ42" s="13"/>
      <c r="HA42" s="13"/>
      <c r="HB42" s="13"/>
      <c r="HC42" s="13"/>
      <c r="HD42" s="13"/>
      <c r="HE42" s="13"/>
      <c r="HF42" s="13"/>
      <c r="HG42" s="13"/>
      <c r="HH42" s="13"/>
      <c r="HI42" s="13"/>
      <c r="HJ42" s="13"/>
      <c r="HK42" s="13"/>
      <c r="HL42" s="13"/>
      <c r="HM42" s="13"/>
      <c r="HN42" s="13"/>
      <c r="HO42" s="13"/>
      <c r="HP42" s="13"/>
      <c r="HQ42" s="13"/>
      <c r="HR42" s="13"/>
      <c r="HS42" s="13"/>
      <c r="HT42" s="13"/>
      <c r="HU42" s="13"/>
      <c r="HV42" s="13"/>
      <c r="HW42" s="13"/>
      <c r="HX42" s="13"/>
      <c r="HY42" s="13"/>
      <c r="HZ42" s="13"/>
      <c r="IA42" s="13"/>
      <c r="IB42" s="13"/>
      <c r="IC42" s="13"/>
      <c r="ID42" s="13"/>
      <c r="IE42" s="13"/>
      <c r="IF42" s="13"/>
      <c r="IG42" s="13"/>
      <c r="IH42" s="2"/>
    </row>
    <row r="43" spans="1:242" ht="15" customHeight="1" x14ac:dyDescent="0.25"/>
    <row r="44" spans="1:242" ht="15" customHeight="1" x14ac:dyDescent="0.25"/>
    <row r="45" spans="1:242" ht="15" customHeight="1" x14ac:dyDescent="0.25"/>
    <row r="46" spans="1:242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M34"/>
  <sheetViews>
    <sheetView workbookViewId="0">
      <selection activeCell="N18" sqref="N18"/>
    </sheetView>
  </sheetViews>
  <sheetFormatPr defaultRowHeight="15" x14ac:dyDescent="0.25"/>
  <cols>
    <col min="1" max="1" width="8.85546875" customWidth="1"/>
    <col min="2" max="2" width="12.140625" customWidth="1"/>
    <col min="4" max="4" width="10.85546875" customWidth="1"/>
    <col min="10" max="10" width="18" customWidth="1"/>
    <col min="12" max="12" width="12.28515625" customWidth="1"/>
  </cols>
  <sheetData>
    <row r="1" spans="2:13" ht="18.600000000000001" thickBot="1" x14ac:dyDescent="0.4">
      <c r="B1" s="4" t="s">
        <v>4</v>
      </c>
      <c r="C1" s="19"/>
      <c r="D1" s="20"/>
      <c r="E1" s="21"/>
      <c r="F1" s="22" t="s">
        <v>10</v>
      </c>
      <c r="G1" s="20"/>
      <c r="H1" s="20"/>
      <c r="J1" s="12" t="s">
        <v>21</v>
      </c>
      <c r="K1" s="5"/>
      <c r="L1" s="5"/>
    </row>
    <row r="2" spans="2:13" ht="14.45" customHeight="1" x14ac:dyDescent="0.3">
      <c r="C2" s="21"/>
      <c r="D2" s="21"/>
      <c r="E2" s="21"/>
      <c r="F2" s="21"/>
      <c r="G2" s="21"/>
      <c r="H2" s="21"/>
      <c r="J2" s="6"/>
      <c r="K2" t="s">
        <v>42</v>
      </c>
      <c r="M2">
        <v>0</v>
      </c>
    </row>
    <row r="3" spans="2:13" ht="14.45" x14ac:dyDescent="0.3">
      <c r="B3" t="s">
        <v>0</v>
      </c>
      <c r="C3" s="10">
        <v>1.2</v>
      </c>
      <c r="D3" s="21" t="s">
        <v>11</v>
      </c>
      <c r="E3" s="21"/>
      <c r="F3" s="21" t="s">
        <v>44</v>
      </c>
      <c r="G3" s="8">
        <v>273</v>
      </c>
      <c r="H3" s="21" t="s">
        <v>12</v>
      </c>
      <c r="J3" s="18"/>
      <c r="K3" t="s">
        <v>43</v>
      </c>
      <c r="M3">
        <v>3</v>
      </c>
    </row>
    <row r="4" spans="2:13" ht="14.45" x14ac:dyDescent="0.3">
      <c r="B4" t="s">
        <v>1</v>
      </c>
      <c r="C4" s="10">
        <v>0.2</v>
      </c>
      <c r="D4" s="21" t="s">
        <v>11</v>
      </c>
      <c r="E4" s="21"/>
      <c r="F4" s="21" t="s">
        <v>45</v>
      </c>
      <c r="G4" s="8">
        <v>320</v>
      </c>
      <c r="H4" s="21" t="s">
        <v>12</v>
      </c>
      <c r="J4" s="13"/>
      <c r="K4" t="s">
        <v>46</v>
      </c>
      <c r="M4">
        <v>10</v>
      </c>
    </row>
    <row r="5" spans="2:13" ht="14.45" x14ac:dyDescent="0.3">
      <c r="B5" s="14" t="s">
        <v>41</v>
      </c>
      <c r="C5" s="9">
        <f>C7/C6</f>
        <v>0.16666666666666669</v>
      </c>
      <c r="D5" s="23"/>
      <c r="E5" s="21"/>
      <c r="F5" s="21" t="s">
        <v>29</v>
      </c>
      <c r="G5" s="8">
        <v>0.5</v>
      </c>
      <c r="H5" s="21" t="s">
        <v>13</v>
      </c>
      <c r="J5" s="3"/>
      <c r="K5" t="s">
        <v>22</v>
      </c>
      <c r="M5">
        <v>44</v>
      </c>
    </row>
    <row r="6" spans="2:13" ht="14.45" x14ac:dyDescent="0.3">
      <c r="B6" t="s">
        <v>2</v>
      </c>
      <c r="C6" s="8">
        <f>C3/C4*C7</f>
        <v>239.99999999999997</v>
      </c>
      <c r="D6" s="21"/>
      <c r="E6" s="21"/>
      <c r="F6" s="21"/>
      <c r="G6" s="21"/>
      <c r="H6" s="21"/>
      <c r="J6" s="7"/>
      <c r="K6" t="s">
        <v>23</v>
      </c>
      <c r="M6">
        <v>42</v>
      </c>
    </row>
    <row r="7" spans="2:13" ht="14.45" x14ac:dyDescent="0.3">
      <c r="B7" t="s">
        <v>3</v>
      </c>
      <c r="C7" s="8">
        <v>40</v>
      </c>
      <c r="D7" s="21"/>
      <c r="E7" s="21"/>
      <c r="F7" s="21"/>
      <c r="G7" s="21"/>
      <c r="H7" s="21"/>
      <c r="J7" s="11"/>
      <c r="K7" t="s">
        <v>24</v>
      </c>
      <c r="M7">
        <v>41</v>
      </c>
    </row>
    <row r="8" spans="2:13" ht="14.45" x14ac:dyDescent="0.3">
      <c r="C8" s="24" t="b">
        <v>0</v>
      </c>
      <c r="D8" s="21"/>
      <c r="E8" s="21"/>
      <c r="F8" s="21"/>
      <c r="G8" s="21"/>
      <c r="H8" s="21"/>
    </row>
    <row r="9" spans="2:13" ht="14.45" x14ac:dyDescent="0.3">
      <c r="C9" s="21"/>
      <c r="D9" s="21"/>
      <c r="E9" s="21"/>
      <c r="F9" s="21"/>
      <c r="G9" s="21"/>
      <c r="H9" s="21"/>
    </row>
    <row r="10" spans="2:13" ht="14.45" x14ac:dyDescent="0.3">
      <c r="C10" s="21"/>
      <c r="D10" s="21"/>
      <c r="E10" s="21"/>
      <c r="F10" s="21"/>
      <c r="G10" s="21"/>
      <c r="H10" s="21"/>
    </row>
    <row r="11" spans="2:13" ht="18.600000000000001" thickBot="1" x14ac:dyDescent="0.4">
      <c r="B11" s="4" t="s">
        <v>19</v>
      </c>
      <c r="C11" s="20"/>
      <c r="D11" s="20"/>
      <c r="E11" s="21"/>
      <c r="F11" s="22" t="s">
        <v>28</v>
      </c>
      <c r="G11" s="20"/>
      <c r="H11" s="20"/>
      <c r="J11" s="4" t="s">
        <v>27</v>
      </c>
      <c r="K11" s="5"/>
      <c r="L11" s="5"/>
    </row>
    <row r="12" spans="2:13" ht="14.45" x14ac:dyDescent="0.3">
      <c r="C12" s="21"/>
      <c r="D12" s="21"/>
      <c r="E12" s="21"/>
      <c r="F12" s="21"/>
      <c r="G12" s="21"/>
      <c r="H12" s="21"/>
    </row>
    <row r="13" spans="2:13" ht="14.45" x14ac:dyDescent="0.3">
      <c r="B13" t="s">
        <v>9</v>
      </c>
      <c r="C13" s="8">
        <v>100</v>
      </c>
      <c r="D13" s="21"/>
      <c r="E13" s="21"/>
      <c r="F13" s="25" t="s">
        <v>7</v>
      </c>
      <c r="G13" s="33" t="s">
        <v>8</v>
      </c>
      <c r="H13" s="33"/>
      <c r="J13" t="s">
        <v>30</v>
      </c>
      <c r="K13" s="17" t="s">
        <v>31</v>
      </c>
      <c r="L13" s="16"/>
    </row>
    <row r="14" spans="2:13" ht="14.45" x14ac:dyDescent="0.3">
      <c r="B14" t="s">
        <v>14</v>
      </c>
      <c r="C14" s="8">
        <v>1</v>
      </c>
      <c r="D14" s="21"/>
      <c r="E14" s="21"/>
      <c r="F14" s="25" t="s">
        <v>25</v>
      </c>
      <c r="G14" s="8">
        <v>0.1</v>
      </c>
      <c r="H14" s="25"/>
      <c r="J14" t="s">
        <v>33</v>
      </c>
      <c r="K14" s="15">
        <f>INDEX('Fluid properties'!$A$4:$R$15,1,MATCH($K$13,'Fluid properties'!$3:$3))</f>
        <v>1</v>
      </c>
      <c r="L14" t="s">
        <v>38</v>
      </c>
    </row>
    <row r="15" spans="2:13" ht="14.45" x14ac:dyDescent="0.3">
      <c r="B15" t="s">
        <v>15</v>
      </c>
      <c r="C15" s="8">
        <v>1</v>
      </c>
      <c r="D15" s="21"/>
      <c r="E15" s="21"/>
      <c r="F15" s="21"/>
      <c r="G15" s="21"/>
      <c r="H15" s="21"/>
      <c r="J15" t="s">
        <v>34</v>
      </c>
      <c r="K15" s="15">
        <f>INDEX('Fluid properties'!$A$4:$R$15,2,MATCH($K$13,'Fluid properties'!$3:$3))</f>
        <v>2.0000000000000002E-5</v>
      </c>
      <c r="L15" t="s">
        <v>39</v>
      </c>
    </row>
    <row r="16" spans="2:13" ht="14.45" x14ac:dyDescent="0.3">
      <c r="B16" t="s">
        <v>16</v>
      </c>
      <c r="C16" s="8">
        <v>30</v>
      </c>
      <c r="D16" s="21"/>
      <c r="E16" s="21"/>
      <c r="F16" s="21" t="s">
        <v>5</v>
      </c>
      <c r="G16" s="8">
        <v>0.1</v>
      </c>
      <c r="H16" s="21"/>
      <c r="J16" t="s">
        <v>37</v>
      </c>
      <c r="K16">
        <f>INDEX('Fluid properties'!$A$4:$R$15,3,MATCH($K$13,'Fluid properties'!$3:$3))</f>
        <v>1013</v>
      </c>
      <c r="L16" t="s">
        <v>36</v>
      </c>
    </row>
    <row r="17" spans="2:12" ht="14.45" x14ac:dyDescent="0.3">
      <c r="B17" t="s">
        <v>20</v>
      </c>
      <c r="C17" s="8">
        <v>1</v>
      </c>
      <c r="D17" s="21"/>
      <c r="E17" s="21"/>
      <c r="F17" s="21" t="s">
        <v>6</v>
      </c>
      <c r="G17" s="8">
        <v>1</v>
      </c>
      <c r="H17" s="21"/>
      <c r="J17" t="s">
        <v>35</v>
      </c>
      <c r="K17">
        <f>INDEX('Fluid properties'!$A$4:$R$15,4,MATCH($K$13,'Fluid properties'!$3:$3))</f>
        <v>2.5000000000000001E-2</v>
      </c>
      <c r="L17" t="s">
        <v>40</v>
      </c>
    </row>
    <row r="18" spans="2:12" ht="14.45" x14ac:dyDescent="0.3">
      <c r="B18" t="s">
        <v>17</v>
      </c>
      <c r="C18" s="8">
        <v>1</v>
      </c>
      <c r="D18" s="21"/>
      <c r="E18" s="21"/>
      <c r="F18" s="21"/>
      <c r="G18" s="21"/>
      <c r="H18" s="21"/>
    </row>
    <row r="19" spans="2:12" ht="14.45" x14ac:dyDescent="0.3">
      <c r="B19" t="s">
        <v>18</v>
      </c>
      <c r="C19" s="8">
        <v>1</v>
      </c>
      <c r="D19" s="21"/>
      <c r="E19" s="21"/>
      <c r="F19" s="23" t="s">
        <v>26</v>
      </c>
      <c r="G19" s="8">
        <v>0.01</v>
      </c>
      <c r="H19" s="23"/>
    </row>
    <row r="20" spans="2:12" ht="14.45" x14ac:dyDescent="0.3">
      <c r="C20" s="21"/>
      <c r="D20" s="21"/>
      <c r="E20" s="21"/>
      <c r="F20" s="23" t="s">
        <v>60</v>
      </c>
      <c r="G20" s="8">
        <v>5</v>
      </c>
      <c r="H20" s="21"/>
    </row>
    <row r="21" spans="2:12" ht="14.45" x14ac:dyDescent="0.3">
      <c r="C21" s="21"/>
      <c r="D21" s="21"/>
      <c r="E21" s="21"/>
      <c r="F21" s="21"/>
      <c r="G21" s="21"/>
      <c r="H21" s="21"/>
    </row>
    <row r="22" spans="2:12" ht="18.600000000000001" thickBot="1" x14ac:dyDescent="0.4">
      <c r="B22" s="4" t="s">
        <v>48</v>
      </c>
      <c r="C22" s="19"/>
      <c r="D22" s="20"/>
      <c r="E22" s="20"/>
      <c r="F22" s="20"/>
      <c r="G22" s="20"/>
      <c r="H22" s="20"/>
      <c r="J22" s="4" t="s">
        <v>61</v>
      </c>
      <c r="K22" s="5"/>
      <c r="L22" s="5"/>
    </row>
    <row r="23" spans="2:12" ht="14.45" x14ac:dyDescent="0.3">
      <c r="C23" s="21"/>
      <c r="D23" s="21"/>
      <c r="E23" s="21"/>
      <c r="F23" s="21" t="s">
        <v>49</v>
      </c>
      <c r="G23" s="21"/>
      <c r="H23" s="21" t="s">
        <v>51</v>
      </c>
      <c r="K23" s="29" t="b">
        <v>0</v>
      </c>
    </row>
    <row r="24" spans="2:12" ht="14.45" x14ac:dyDescent="0.3">
      <c r="B24" t="s">
        <v>50</v>
      </c>
      <c r="C24" s="8" t="s">
        <v>62</v>
      </c>
      <c r="E24" t="s">
        <v>54</v>
      </c>
      <c r="F24" s="9">
        <f>0.25*C$27</f>
        <v>0.3</v>
      </c>
      <c r="H24" s="9">
        <f>F24+IF(C24="Square",C31,SQRT(C31^2 - (C31/2)^2))</f>
        <v>0.38660254037844388</v>
      </c>
      <c r="J24" s="28" t="b">
        <v>0</v>
      </c>
      <c r="L24" s="16"/>
    </row>
    <row r="25" spans="2:12" ht="14.45" x14ac:dyDescent="0.3">
      <c r="B25" t="s">
        <v>52</v>
      </c>
      <c r="C25" s="8">
        <v>1.5</v>
      </c>
      <c r="D25" t="s">
        <v>56</v>
      </c>
      <c r="E25" t="s">
        <v>55</v>
      </c>
      <c r="F25" s="9">
        <v>0</v>
      </c>
      <c r="G25" s="23"/>
      <c r="H25" s="9">
        <f>IF(C24="Square",F25,C31/2)</f>
        <v>0.05</v>
      </c>
      <c r="K25" s="15"/>
    </row>
    <row r="26" spans="2:12" x14ac:dyDescent="0.25">
      <c r="F26" s="26"/>
      <c r="G26" s="26"/>
      <c r="H26" s="26"/>
      <c r="J26" t="s">
        <v>63</v>
      </c>
      <c r="K26" s="32">
        <f>G19*G5/(C3/C6)</f>
        <v>1</v>
      </c>
    </row>
    <row r="27" spans="2:12" ht="14.45" customHeight="1" x14ac:dyDescent="0.25">
      <c r="B27" t="s">
        <v>0</v>
      </c>
      <c r="C27" s="27">
        <f>C3</f>
        <v>1.2</v>
      </c>
      <c r="D27" t="s">
        <v>11</v>
      </c>
      <c r="E27" t="s">
        <v>54</v>
      </c>
      <c r="F27" s="9">
        <f>0.25*C$27</f>
        <v>0.3</v>
      </c>
      <c r="H27" s="9">
        <f>H24</f>
        <v>0.38660254037844388</v>
      </c>
      <c r="K27" s="31"/>
    </row>
    <row r="28" spans="2:12" x14ac:dyDescent="0.25">
      <c r="B28" t="s">
        <v>1</v>
      </c>
      <c r="C28" s="27">
        <f>C4</f>
        <v>0.2</v>
      </c>
      <c r="D28" t="s">
        <v>11</v>
      </c>
      <c r="E28" t="s">
        <v>55</v>
      </c>
      <c r="F28" s="9">
        <f>C31</f>
        <v>0.1</v>
      </c>
      <c r="H28" s="9">
        <f>H25+C31</f>
        <v>0.15000000000000002</v>
      </c>
    </row>
    <row r="30" spans="2:12" x14ac:dyDescent="0.25">
      <c r="B30" t="s">
        <v>53</v>
      </c>
      <c r="C30" s="9">
        <f>C31/C25</f>
        <v>6.6666666666666666E-2</v>
      </c>
      <c r="D30" t="s">
        <v>11</v>
      </c>
      <c r="E30" t="s">
        <v>54</v>
      </c>
      <c r="F30" s="9">
        <f>0.25*C$27</f>
        <v>0.3</v>
      </c>
      <c r="H30" s="9" t="str">
        <f>IF(C24="Square",F30+C$31,"None")</f>
        <v>None</v>
      </c>
    </row>
    <row r="31" spans="2:12" x14ac:dyDescent="0.25">
      <c r="B31" t="s">
        <v>52</v>
      </c>
      <c r="C31" s="9">
        <f>C28/2</f>
        <v>0.1</v>
      </c>
      <c r="D31" t="s">
        <v>11</v>
      </c>
      <c r="E31" t="s">
        <v>55</v>
      </c>
      <c r="F31" s="9">
        <f>C28</f>
        <v>0.2</v>
      </c>
      <c r="H31" s="9" t="str">
        <f>IF(C24="Square",F31,"None")</f>
        <v>None</v>
      </c>
    </row>
    <row r="33" spans="2:4" x14ac:dyDescent="0.25">
      <c r="B33" t="s">
        <v>57</v>
      </c>
      <c r="C33" s="8">
        <f>C3/C6</f>
        <v>5.0000000000000001E-3</v>
      </c>
      <c r="D33" t="s">
        <v>59</v>
      </c>
    </row>
    <row r="34" spans="2:4" x14ac:dyDescent="0.25">
      <c r="B34" t="s">
        <v>58</v>
      </c>
      <c r="C34" s="8">
        <f>C4/C7</f>
        <v>5.0000000000000001E-3</v>
      </c>
      <c r="D34" t="s">
        <v>59</v>
      </c>
    </row>
  </sheetData>
  <mergeCells count="1">
    <mergeCell ref="G13:H13"/>
  </mergeCells>
  <conditionalFormatting sqref="K23">
    <cfRule type="cellIs" dxfId="0" priority="1" operator="equal">
      <formula>TRUE</formula>
    </cfRule>
  </conditionalFormatting>
  <dataValidations count="3">
    <dataValidation type="list" allowBlank="1" showInputMessage="1" showErrorMessage="1" sqref="G13:H13">
      <formula1>"solve,solveGS,solveSOR"</formula1>
    </dataValidation>
    <dataValidation type="list" allowBlank="1" showInputMessage="1" showErrorMessage="1" sqref="K13">
      <formula1>"Air,Water"</formula1>
    </dataValidation>
    <dataValidation type="list" allowBlank="1" showInputMessage="1" showErrorMessage="1" sqref="C24">
      <formula1>"Square,Triangular"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Knop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nop 4">
              <controlPr defaultSize="0" print="0" autoFill="0" autoPict="0" macro="[0]!Blad1.convert">
                <anchor moveWithCells="1">
                  <from>
                    <xdr:col>5</xdr:col>
                    <xdr:colOff>428625</xdr:colOff>
                    <xdr:row>7</xdr:row>
                    <xdr:rowOff>0</xdr:rowOff>
                  </from>
                  <to>
                    <xdr:col>8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Selectievakje 5">
              <controlPr defaultSize="0" autoFill="0" autoLine="0" autoPict="0">
                <anchor moveWithCells="1">
                  <from>
                    <xdr:col>2</xdr:col>
                    <xdr:colOff>19050</xdr:colOff>
                    <xdr:row>6</xdr:row>
                    <xdr:rowOff>152400</xdr:rowOff>
                  </from>
                  <to>
                    <xdr:col>4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Knop 9">
              <controlPr defaultSize="0" print="0" autoFill="0" autoPict="0" macro="[0]!apply_pattern">
                <anchor moveWithCells="1">
                  <from>
                    <xdr:col>5</xdr:col>
                    <xdr:colOff>171450</xdr:colOff>
                    <xdr:row>21</xdr:row>
                    <xdr:rowOff>0</xdr:rowOff>
                  </from>
                  <to>
                    <xdr:col>7</xdr:col>
                    <xdr:colOff>133350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Selectievakje 12">
              <controlPr defaultSize="0" autoFill="0" autoLine="0" autoPict="0">
                <anchor moveWithCells="1">
                  <from>
                    <xdr:col>9</xdr:col>
                    <xdr:colOff>95250</xdr:colOff>
                    <xdr:row>22</xdr:row>
                    <xdr:rowOff>0</xdr:rowOff>
                  </from>
                  <to>
                    <xdr:col>9</xdr:col>
                    <xdr:colOff>962025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C7"/>
  <sheetViews>
    <sheetView workbookViewId="0">
      <selection activeCell="E26" sqref="E26"/>
    </sheetView>
  </sheetViews>
  <sheetFormatPr defaultRowHeight="15" x14ac:dyDescent="0.25"/>
  <cols>
    <col min="1" max="1" width="17.7109375" customWidth="1"/>
  </cols>
  <sheetData>
    <row r="1" spans="1:3" ht="18.600000000000001" thickBot="1" x14ac:dyDescent="0.4">
      <c r="A1" s="4" t="s">
        <v>27</v>
      </c>
      <c r="B1" s="5"/>
      <c r="C1" s="5"/>
    </row>
    <row r="3" spans="1:3" ht="14.45" x14ac:dyDescent="0.3">
      <c r="A3" t="s">
        <v>30</v>
      </c>
      <c r="B3" t="s">
        <v>31</v>
      </c>
      <c r="C3" t="s">
        <v>32</v>
      </c>
    </row>
    <row r="4" spans="1:3" ht="14.45" x14ac:dyDescent="0.3">
      <c r="A4" t="s">
        <v>33</v>
      </c>
      <c r="B4">
        <v>1</v>
      </c>
      <c r="C4">
        <v>1000</v>
      </c>
    </row>
    <row r="5" spans="1:3" ht="14.45" x14ac:dyDescent="0.3">
      <c r="A5" t="s">
        <v>34</v>
      </c>
      <c r="B5" s="15">
        <v>2.0000000000000002E-5</v>
      </c>
      <c r="C5" s="15">
        <v>1E-3</v>
      </c>
    </row>
    <row r="6" spans="1:3" ht="14.45" x14ac:dyDescent="0.3">
      <c r="A6" t="s">
        <v>37</v>
      </c>
      <c r="B6">
        <v>1013</v>
      </c>
      <c r="C6">
        <v>4200</v>
      </c>
    </row>
    <row r="7" spans="1:3" ht="14.45" x14ac:dyDescent="0.3">
      <c r="A7" t="s">
        <v>35</v>
      </c>
      <c r="B7">
        <v>2.5000000000000001E-2</v>
      </c>
      <c r="C7">
        <v>0.59099999999999997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Constraints</vt:lpstr>
      <vt:lpstr>Grid settings</vt:lpstr>
      <vt:lpstr>Fluid properties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Student</cp:lastModifiedBy>
  <dcterms:created xsi:type="dcterms:W3CDTF">2018-03-27T12:06:22Z</dcterms:created>
  <dcterms:modified xsi:type="dcterms:W3CDTF">2018-04-13T22:55:18Z</dcterms:modified>
</cp:coreProperties>
</file>