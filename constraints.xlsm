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120" windowWidth="23040" windowHeight="8940" activeTab="1"/>
  </bookViews>
  <sheets>
    <sheet name="Constraints" sheetId="1" r:id="rId1"/>
    <sheet name="Grid settings" sheetId="2" r:id="rId2"/>
    <sheet name="Fluid properties" sheetId="3" r:id="rId3"/>
  </sheets>
  <calcPr calcId="145621"/>
</workbook>
</file>

<file path=xl/calcChain.xml><?xml version="1.0" encoding="utf-8"?>
<calcChain xmlns="http://schemas.openxmlformats.org/spreadsheetml/2006/main">
  <c r="K23" i="2" l="1"/>
  <c r="C6" i="2" l="1"/>
  <c r="C5" i="2" s="1"/>
  <c r="C34" i="2"/>
  <c r="C30" i="2"/>
  <c r="C33" i="2" l="1"/>
  <c r="C28" i="2"/>
  <c r="C31" i="2" s="1"/>
  <c r="F28" i="2" s="1"/>
  <c r="C27" i="2"/>
  <c r="F27" i="2" s="1"/>
  <c r="F31" i="2" l="1"/>
  <c r="H31" i="2" s="1"/>
  <c r="F24" i="2"/>
  <c r="F30" i="2"/>
  <c r="H25" i="2"/>
  <c r="H24" i="2" l="1"/>
  <c r="K17" i="2" l="1"/>
  <c r="K16" i="2"/>
  <c r="K15" i="2"/>
  <c r="K14" i="2"/>
  <c r="H30" i="2"/>
  <c r="H28" i="2"/>
  <c r="H27" i="2" l="1"/>
</calcChain>
</file>

<file path=xl/sharedStrings.xml><?xml version="1.0" encoding="utf-8"?>
<sst xmlns="http://schemas.openxmlformats.org/spreadsheetml/2006/main" count="82" uniqueCount="61">
  <si>
    <t>XMAX</t>
  </si>
  <si>
    <t>YMAX</t>
  </si>
  <si>
    <t>NPI</t>
  </si>
  <si>
    <t>NPJ</t>
  </si>
  <si>
    <t>Grid Settings</t>
  </si>
  <si>
    <t>relax_u</t>
  </si>
  <si>
    <t>relax_T</t>
  </si>
  <si>
    <t>solver</t>
  </si>
  <si>
    <t>solve</t>
  </si>
  <si>
    <t>MAX_ITER</t>
  </si>
  <si>
    <t>Temperature and Velocity</t>
  </si>
  <si>
    <t>[m]</t>
  </si>
  <si>
    <t>[K]</t>
  </si>
  <si>
    <t>[m/s]</t>
  </si>
  <si>
    <t>U_ITER</t>
  </si>
  <si>
    <t>V_ITER</t>
  </si>
  <si>
    <t>PC_ITER</t>
  </si>
  <si>
    <t>EPS_ITER</t>
  </si>
  <si>
    <t>K_ITER</t>
  </si>
  <si>
    <t>Relaxation and Iteration</t>
  </si>
  <si>
    <t>T_ITER</t>
  </si>
  <si>
    <t>Legend</t>
  </si>
  <si>
    <t>yplus in u direction</t>
  </si>
  <si>
    <t>yplus in v direction</t>
  </si>
  <si>
    <t>yplus in both directions</t>
  </si>
  <si>
    <t>Gamma</t>
  </si>
  <si>
    <t>Dt</t>
  </si>
  <si>
    <t>Fluid properties</t>
  </si>
  <si>
    <t>Solver</t>
  </si>
  <si>
    <t>U_IN</t>
  </si>
  <si>
    <t>Fluid</t>
  </si>
  <si>
    <t>Air</t>
  </si>
  <si>
    <t>Water</t>
  </si>
  <si>
    <t>density</t>
  </si>
  <si>
    <t>viscosity</t>
  </si>
  <si>
    <t>Thermal conductivity</t>
  </si>
  <si>
    <t>[J/kg/K]</t>
  </si>
  <si>
    <t>Specific heat</t>
  </si>
  <si>
    <t>[kg/m^3]</t>
  </si>
  <si>
    <t>[Pa*s]</t>
  </si>
  <si>
    <t>[W/m/K]</t>
  </si>
  <si>
    <t>NPJ / NPI</t>
  </si>
  <si>
    <t>both u, v fixed, adiabatic</t>
  </si>
  <si>
    <t>both u, v fixed, T is T</t>
  </si>
  <si>
    <t>T0</t>
  </si>
  <si>
    <t>T objects</t>
  </si>
  <si>
    <t>Full slip wall</t>
  </si>
  <si>
    <t>HE Layout</t>
  </si>
  <si>
    <t>Row 1</t>
  </si>
  <si>
    <t>Layout</t>
  </si>
  <si>
    <t>Row 2</t>
  </si>
  <si>
    <t>pitch</t>
  </si>
  <si>
    <t>tube diam (D)</t>
  </si>
  <si>
    <t>x</t>
  </si>
  <si>
    <t>y</t>
  </si>
  <si>
    <t>Square</t>
  </si>
  <si>
    <t>*D</t>
  </si>
  <si>
    <t>DX</t>
  </si>
  <si>
    <t>DY</t>
  </si>
  <si>
    <t>[m / cell]</t>
  </si>
  <si>
    <t>N_CFL = Dt * U_max / (XMAX/NPI) = 0.01 * 0.1 / (2/400) = 0.2 &lt;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</si>
</sst>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sz val="11"/>
      <color rgb="FF1F497D"/>
      <name val="Times New Roman"/>
      <family val="1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indexed="48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 diagonalUp="1" diagonalDown="1">
      <left/>
      <right/>
      <top/>
      <bottom/>
      <diagonal style="thin">
        <color auto="1"/>
      </diagonal>
    </border>
  </borders>
  <cellStyleXfs count="3">
    <xf numFmtId="0" fontId="0" fillId="0" borderId="0"/>
    <xf numFmtId="0" fontId="2" fillId="6" borderId="3" applyNumberFormat="0" applyAlignment="0" applyProtection="0"/>
    <xf numFmtId="0" fontId="3" fillId="7" borderId="3" applyNumberFormat="0" applyAlignment="0" applyProtection="0"/>
  </cellStyleXfs>
  <cellXfs count="32">
    <xf numFmtId="0" fontId="0" fillId="0" borderId="0" xfId="0"/>
    <xf numFmtId="0" fontId="0" fillId="2" borderId="1" xfId="0" applyFill="1" applyBorder="1"/>
    <xf numFmtId="0" fontId="0" fillId="0" borderId="1" xfId="0" applyFill="1" applyBorder="1"/>
    <xf numFmtId="0" fontId="0" fillId="3" borderId="1" xfId="0" applyFill="1" applyBorder="1"/>
    <xf numFmtId="0" fontId="1" fillId="0" borderId="2" xfId="0" applyFont="1" applyBorder="1"/>
    <xf numFmtId="0" fontId="0" fillId="0" borderId="2" xfId="0" applyBorder="1"/>
    <xf numFmtId="0" fontId="0" fillId="4" borderId="1" xfId="0" applyFill="1" applyBorder="1"/>
    <xf numFmtId="0" fontId="0" fillId="5" borderId="1" xfId="0" applyFill="1" applyBorder="1"/>
    <xf numFmtId="0" fontId="2" fillId="6" borderId="3" xfId="1"/>
    <xf numFmtId="0" fontId="3" fillId="7" borderId="3" xfId="2"/>
    <xf numFmtId="2" fontId="2" fillId="6" borderId="3" xfId="1" applyNumberFormat="1"/>
    <xf numFmtId="0" fontId="0" fillId="8" borderId="1" xfId="0" applyFill="1" applyBorder="1"/>
    <xf numFmtId="0" fontId="1" fillId="0" borderId="0" xfId="0" applyFont="1" applyBorder="1"/>
    <xf numFmtId="0" fontId="0" fillId="9" borderId="1" xfId="0" applyFill="1" applyBorder="1"/>
    <xf numFmtId="0" fontId="0" fillId="0" borderId="0" xfId="0" applyBorder="1"/>
    <xf numFmtId="11" fontId="0" fillId="0" borderId="0" xfId="0" applyNumberFormat="1"/>
    <xf numFmtId="0" fontId="0" fillId="0" borderId="0" xfId="0" applyBorder="1" applyAlignment="1"/>
    <xf numFmtId="0" fontId="2" fillId="6" borderId="3" xfId="1" applyAlignment="1"/>
    <xf numFmtId="0" fontId="0" fillId="10" borderId="1" xfId="0" applyFill="1" applyBorder="1"/>
    <xf numFmtId="2" fontId="0" fillId="0" borderId="2" xfId="0" applyNumberFormat="1" applyFill="1" applyBorder="1"/>
    <xf numFmtId="0" fontId="0" fillId="0" borderId="2" xfId="0" applyFill="1" applyBorder="1"/>
    <xf numFmtId="0" fontId="0" fillId="0" borderId="0" xfId="0" applyFill="1"/>
    <xf numFmtId="0" fontId="1" fillId="0" borderId="2" xfId="0" applyFont="1" applyFill="1" applyBorder="1"/>
    <xf numFmtId="0" fontId="0" fillId="0" borderId="0" xfId="0" applyFill="1" applyBorder="1"/>
    <xf numFmtId="0" fontId="4" fillId="0" borderId="0" xfId="0" applyFont="1" applyFill="1"/>
    <xf numFmtId="0" fontId="0" fillId="0" borderId="4" xfId="0" applyFill="1" applyBorder="1"/>
    <xf numFmtId="0" fontId="3" fillId="0" borderId="0" xfId="2" applyFill="1" applyBorder="1"/>
    <xf numFmtId="2" fontId="3" fillId="7" borderId="3" xfId="2" applyNumberFormat="1"/>
    <xf numFmtId="0" fontId="0" fillId="11" borderId="1" xfId="0" applyFill="1" applyBorder="1"/>
    <xf numFmtId="0" fontId="0" fillId="12" borderId="1" xfId="0" applyFill="1" applyBorder="1"/>
    <xf numFmtId="0" fontId="2" fillId="6" borderId="3" xfId="1" applyAlignment="1">
      <alignment horizontal="center"/>
    </xf>
    <xf numFmtId="0" fontId="7" fillId="0" borderId="0" xfId="0" applyFont="1"/>
  </cellXfs>
  <cellStyles count="3">
    <cellStyle name="Calculation" xfId="2" builtinId="22"/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C8" lockText="1" noThreeD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9525</xdr:rowOff>
        </xdr:from>
        <xdr:to>
          <xdr:col>4</xdr:col>
          <xdr:colOff>0</xdr:colOff>
          <xdr:row>6</xdr:row>
          <xdr:rowOff>171450</xdr:rowOff>
        </xdr:to>
        <xdr:sp macro="" textlink="">
          <xdr:nvSpPr>
            <xdr:cNvPr id="2049" name="Knop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(re)set grid</a:t>
              </a: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7</xdr:row>
          <xdr:rowOff>0</xdr:rowOff>
        </xdr:from>
        <xdr:to>
          <xdr:col>8</xdr:col>
          <xdr:colOff>9525</xdr:colOff>
          <xdr:row>8</xdr:row>
          <xdr:rowOff>171450</xdr:rowOff>
        </xdr:to>
        <xdr:sp macro="" textlink="">
          <xdr:nvSpPr>
            <xdr:cNvPr id="2052" name="Knop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Drop atomic bomb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152400</xdr:rowOff>
        </xdr:from>
        <xdr:to>
          <xdr:col>4</xdr:col>
          <xdr:colOff>0</xdr:colOff>
          <xdr:row>8</xdr:row>
          <xdr:rowOff>19050</xdr:rowOff>
        </xdr:to>
        <xdr:sp macro="" textlink="">
          <xdr:nvSpPr>
            <xdr:cNvPr id="2053" name="Selectievakje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Apply no-slip walls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21</xdr:row>
          <xdr:rowOff>0</xdr:rowOff>
        </xdr:from>
        <xdr:to>
          <xdr:col>7</xdr:col>
          <xdr:colOff>133350</xdr:colOff>
          <xdr:row>22</xdr:row>
          <xdr:rowOff>0</xdr:rowOff>
        </xdr:to>
        <xdr:sp macro="" textlink="">
          <xdr:nvSpPr>
            <xdr:cNvPr id="2057" name="Knop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Apply pattern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OL43"/>
  <sheetViews>
    <sheetView zoomScale="58" zoomScaleNormal="58" workbookViewId="0">
      <selection activeCell="P53" sqref="P53"/>
    </sheetView>
  </sheetViews>
  <sheetFormatPr defaultRowHeight="15" x14ac:dyDescent="0.25"/>
  <cols>
    <col min="1" max="403" width="2.7109375" customWidth="1"/>
  </cols>
  <sheetData>
    <row r="1" spans="1:402" ht="15" customHeight="1" x14ac:dyDescent="0.25">
      <c r="A1" s="2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  <c r="BJ1" s="28"/>
      <c r="BK1" s="28"/>
      <c r="BL1" s="28"/>
      <c r="BM1" s="28"/>
      <c r="BN1" s="28"/>
      <c r="BO1" s="28"/>
      <c r="BP1" s="28"/>
      <c r="BQ1" s="28"/>
      <c r="BR1" s="28"/>
      <c r="BS1" s="28"/>
      <c r="BT1" s="28"/>
      <c r="BU1" s="28"/>
      <c r="BV1" s="28"/>
      <c r="BW1" s="28"/>
      <c r="BX1" s="28"/>
      <c r="BY1" s="28"/>
      <c r="BZ1" s="28"/>
      <c r="CA1" s="28"/>
      <c r="CB1" s="28"/>
      <c r="CC1" s="28"/>
      <c r="CD1" s="28"/>
      <c r="CE1" s="28"/>
      <c r="CF1" s="28"/>
      <c r="CG1" s="28"/>
      <c r="CH1" s="28"/>
      <c r="CI1" s="28"/>
      <c r="CJ1" s="28"/>
      <c r="CK1" s="28"/>
      <c r="CL1" s="28"/>
      <c r="CM1" s="28"/>
      <c r="CN1" s="28"/>
      <c r="CO1" s="28"/>
      <c r="CP1" s="28"/>
      <c r="CQ1" s="28"/>
      <c r="CR1" s="28"/>
      <c r="CS1" s="28"/>
      <c r="CT1" s="28"/>
      <c r="CU1" s="28"/>
      <c r="CV1" s="28"/>
      <c r="CW1" s="28"/>
      <c r="CX1" s="28"/>
      <c r="CY1" s="28"/>
      <c r="CZ1" s="28"/>
      <c r="DA1" s="28"/>
      <c r="DB1" s="28"/>
      <c r="DC1" s="28"/>
      <c r="DD1" s="28"/>
      <c r="DE1" s="28"/>
      <c r="DF1" s="28"/>
      <c r="DG1" s="28"/>
      <c r="DH1" s="28"/>
      <c r="DI1" s="28"/>
      <c r="DJ1" s="28"/>
      <c r="DK1" s="28"/>
      <c r="DL1" s="28"/>
      <c r="DM1" s="28"/>
      <c r="DN1" s="28"/>
      <c r="DO1" s="28"/>
      <c r="DP1" s="28"/>
      <c r="DQ1" s="28"/>
      <c r="DR1" s="28"/>
      <c r="DS1" s="28"/>
      <c r="DT1" s="28"/>
      <c r="DU1" s="28"/>
      <c r="DV1" s="28"/>
      <c r="DW1" s="28"/>
      <c r="DX1" s="28"/>
      <c r="DY1" s="28"/>
      <c r="DZ1" s="28"/>
      <c r="EA1" s="28"/>
      <c r="EB1" s="28"/>
      <c r="EC1" s="28"/>
      <c r="ED1" s="28"/>
      <c r="EE1" s="28"/>
      <c r="EF1" s="28"/>
      <c r="EG1" s="28"/>
      <c r="EH1" s="28"/>
      <c r="EI1" s="28"/>
      <c r="EJ1" s="28"/>
      <c r="EK1" s="28"/>
      <c r="EL1" s="28"/>
      <c r="EM1" s="28"/>
      <c r="EN1" s="28"/>
      <c r="EO1" s="28"/>
      <c r="EP1" s="28"/>
      <c r="EQ1" s="28"/>
      <c r="ER1" s="28"/>
      <c r="ES1" s="28"/>
      <c r="ET1" s="28"/>
      <c r="EU1" s="28"/>
      <c r="EV1" s="28"/>
      <c r="EW1" s="28"/>
      <c r="EX1" s="28"/>
      <c r="EY1" s="28"/>
      <c r="EZ1" s="28"/>
      <c r="FA1" s="28"/>
      <c r="FB1" s="28"/>
      <c r="FC1" s="28"/>
      <c r="FD1" s="28"/>
      <c r="FE1" s="28"/>
      <c r="FF1" s="28"/>
      <c r="FG1" s="28"/>
      <c r="FH1" s="28"/>
      <c r="FI1" s="28"/>
      <c r="FJ1" s="28"/>
      <c r="FK1" s="28"/>
      <c r="FL1" s="28"/>
      <c r="FM1" s="28"/>
      <c r="FN1" s="28"/>
      <c r="FO1" s="28"/>
      <c r="FP1" s="28"/>
      <c r="FQ1" s="28"/>
      <c r="FR1" s="28"/>
      <c r="FS1" s="28"/>
      <c r="FT1" s="28"/>
      <c r="FU1" s="28"/>
      <c r="FV1" s="28"/>
      <c r="FW1" s="28"/>
      <c r="FX1" s="28"/>
      <c r="FY1" s="28"/>
      <c r="FZ1" s="28"/>
      <c r="GA1" s="28"/>
      <c r="GB1" s="28"/>
      <c r="GC1" s="28"/>
      <c r="GD1" s="28"/>
      <c r="GE1" s="28"/>
      <c r="GF1" s="28"/>
      <c r="GG1" s="28"/>
      <c r="GH1" s="28"/>
      <c r="GI1" s="28"/>
      <c r="GJ1" s="28"/>
      <c r="GK1" s="28"/>
      <c r="GL1" s="28"/>
      <c r="GM1" s="28"/>
      <c r="GN1" s="28"/>
      <c r="GO1" s="28"/>
      <c r="GP1" s="28"/>
      <c r="GQ1" s="28"/>
      <c r="GR1" s="28"/>
      <c r="GS1" s="28"/>
      <c r="GT1" s="28"/>
      <c r="GU1" s="28"/>
      <c r="GV1" s="28"/>
      <c r="GW1" s="28"/>
      <c r="GX1" s="28"/>
      <c r="GY1" s="28"/>
      <c r="GZ1" s="28"/>
      <c r="HA1" s="28"/>
      <c r="HB1" s="28"/>
      <c r="HC1" s="28"/>
      <c r="HD1" s="28"/>
      <c r="HE1" s="28"/>
      <c r="HF1" s="28"/>
      <c r="HG1" s="28"/>
      <c r="HH1" s="28"/>
      <c r="HI1" s="28"/>
      <c r="HJ1" s="28"/>
      <c r="HK1" s="28"/>
      <c r="HL1" s="28"/>
      <c r="HM1" s="28"/>
      <c r="HN1" s="28"/>
      <c r="HO1" s="28"/>
      <c r="HP1" s="28"/>
      <c r="HQ1" s="28"/>
      <c r="HR1" s="28"/>
      <c r="HS1" s="28"/>
      <c r="HT1" s="28"/>
      <c r="HU1" s="28"/>
      <c r="HV1" s="28"/>
      <c r="HW1" s="28"/>
      <c r="HX1" s="28"/>
      <c r="HY1" s="28"/>
      <c r="HZ1" s="28"/>
      <c r="IA1" s="28"/>
      <c r="IB1" s="28"/>
      <c r="IC1" s="28"/>
      <c r="ID1" s="28"/>
      <c r="IE1" s="28"/>
      <c r="IF1" s="28"/>
      <c r="IG1" s="28"/>
      <c r="IH1" s="28"/>
      <c r="II1" s="28"/>
      <c r="IJ1" s="28"/>
      <c r="IK1" s="28"/>
      <c r="IL1" s="28"/>
      <c r="IM1" s="28"/>
      <c r="IN1" s="28"/>
      <c r="IO1" s="28"/>
      <c r="IP1" s="28"/>
      <c r="IQ1" s="28"/>
      <c r="IR1" s="28"/>
      <c r="IS1" s="28"/>
      <c r="IT1" s="28"/>
      <c r="IU1" s="28"/>
      <c r="IV1" s="28"/>
      <c r="IW1" s="28"/>
      <c r="IX1" s="28"/>
      <c r="IY1" s="28"/>
      <c r="IZ1" s="28"/>
      <c r="JA1" s="28"/>
      <c r="JB1" s="28"/>
      <c r="JC1" s="28"/>
      <c r="JD1" s="28"/>
      <c r="JE1" s="28"/>
      <c r="JF1" s="28"/>
      <c r="JG1" s="28"/>
      <c r="JH1" s="28"/>
      <c r="JI1" s="28"/>
      <c r="JJ1" s="28"/>
      <c r="JK1" s="28"/>
      <c r="JL1" s="28"/>
      <c r="JM1" s="28"/>
      <c r="JN1" s="28"/>
      <c r="JO1" s="28"/>
      <c r="JP1" s="28"/>
      <c r="JQ1" s="28"/>
      <c r="JR1" s="28"/>
      <c r="JS1" s="28"/>
      <c r="JT1" s="28"/>
      <c r="JU1" s="28"/>
      <c r="JV1" s="28"/>
      <c r="JW1" s="28"/>
      <c r="JX1" s="28"/>
      <c r="JY1" s="28"/>
      <c r="JZ1" s="28"/>
      <c r="KA1" s="28"/>
      <c r="KB1" s="28"/>
      <c r="KC1" s="28"/>
      <c r="KD1" s="28"/>
      <c r="KE1" s="28"/>
      <c r="KF1" s="28"/>
      <c r="KG1" s="28"/>
      <c r="KH1" s="28"/>
      <c r="KI1" s="28"/>
      <c r="KJ1" s="28"/>
      <c r="KK1" s="28"/>
      <c r="KL1" s="28"/>
      <c r="KM1" s="28"/>
      <c r="KN1" s="28"/>
      <c r="KO1" s="28"/>
      <c r="KP1" s="28"/>
      <c r="KQ1" s="28"/>
      <c r="KR1" s="28"/>
      <c r="KS1" s="28"/>
      <c r="KT1" s="28"/>
      <c r="KU1" s="28"/>
      <c r="KV1" s="28"/>
      <c r="KW1" s="28"/>
      <c r="KX1" s="28"/>
      <c r="KY1" s="28"/>
      <c r="KZ1" s="28"/>
      <c r="LA1" s="28"/>
      <c r="LB1" s="28"/>
      <c r="LC1" s="28"/>
      <c r="LD1" s="28"/>
      <c r="LE1" s="28"/>
      <c r="LF1" s="28"/>
      <c r="LG1" s="28"/>
      <c r="LH1" s="28"/>
      <c r="LI1" s="28"/>
      <c r="LJ1" s="28"/>
      <c r="LK1" s="28"/>
      <c r="LL1" s="28"/>
      <c r="LM1" s="28"/>
      <c r="LN1" s="28"/>
      <c r="LO1" s="28"/>
      <c r="LP1" s="28"/>
      <c r="LQ1" s="28"/>
      <c r="LR1" s="28"/>
      <c r="LS1" s="28"/>
      <c r="LT1" s="28"/>
      <c r="LU1" s="28"/>
      <c r="LV1" s="28"/>
      <c r="LW1" s="28"/>
      <c r="LX1" s="28"/>
      <c r="LY1" s="28"/>
      <c r="LZ1" s="28"/>
      <c r="MA1" s="28"/>
      <c r="MB1" s="28"/>
      <c r="MC1" s="28"/>
      <c r="MD1" s="28"/>
      <c r="ME1" s="28"/>
      <c r="MF1" s="28"/>
      <c r="MG1" s="28"/>
      <c r="MH1" s="28"/>
      <c r="MI1" s="28"/>
      <c r="MJ1" s="28"/>
      <c r="MK1" s="28"/>
      <c r="ML1" s="28"/>
      <c r="MM1" s="28"/>
      <c r="MN1" s="28"/>
      <c r="MO1" s="28"/>
      <c r="MP1" s="28"/>
      <c r="MQ1" s="28"/>
      <c r="MR1" s="28"/>
      <c r="MS1" s="28"/>
      <c r="MT1" s="28"/>
      <c r="MU1" s="28"/>
      <c r="MV1" s="28"/>
      <c r="MW1" s="28"/>
      <c r="MX1" s="28"/>
      <c r="MY1" s="28"/>
      <c r="MZ1" s="28"/>
      <c r="NA1" s="28"/>
      <c r="NB1" s="28"/>
      <c r="NC1" s="28"/>
      <c r="ND1" s="28"/>
      <c r="NE1" s="28"/>
      <c r="NF1" s="28"/>
      <c r="NG1" s="28"/>
      <c r="NH1" s="28"/>
      <c r="NI1" s="28"/>
      <c r="NJ1" s="28"/>
      <c r="NK1" s="28"/>
      <c r="NL1" s="28"/>
      <c r="NM1" s="28"/>
      <c r="NN1" s="28"/>
      <c r="NO1" s="28"/>
      <c r="NP1" s="28"/>
      <c r="NQ1" s="28"/>
      <c r="NR1" s="28"/>
      <c r="NS1" s="28"/>
      <c r="NT1" s="28"/>
      <c r="NU1" s="28"/>
      <c r="NV1" s="28"/>
      <c r="NW1" s="28"/>
      <c r="NX1" s="28"/>
      <c r="NY1" s="28"/>
      <c r="NZ1" s="28"/>
      <c r="OA1" s="28"/>
      <c r="OB1" s="28"/>
      <c r="OC1" s="28"/>
      <c r="OD1" s="28"/>
      <c r="OE1" s="28"/>
      <c r="OF1" s="28"/>
      <c r="OG1" s="28"/>
      <c r="OH1" s="28"/>
      <c r="OI1" s="28"/>
      <c r="OJ1" s="28"/>
      <c r="OK1" s="28"/>
      <c r="OL1" s="2"/>
    </row>
    <row r="2" spans="1:402" ht="15" customHeight="1" x14ac:dyDescent="0.25">
      <c r="A2" s="2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11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11"/>
      <c r="AR2" s="3"/>
      <c r="AS2" s="3"/>
      <c r="AT2" s="3"/>
      <c r="AU2" s="3"/>
      <c r="AV2" s="11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29"/>
      <c r="BK2" s="11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  <c r="IV2" s="3"/>
      <c r="IW2" s="3"/>
      <c r="IX2" s="3"/>
      <c r="IY2" s="3"/>
      <c r="IZ2" s="3"/>
      <c r="JA2" s="3"/>
      <c r="JB2" s="3"/>
      <c r="JC2" s="3"/>
      <c r="JD2" s="3"/>
      <c r="JE2" s="3"/>
      <c r="JF2" s="3"/>
      <c r="JG2" s="3"/>
      <c r="JH2" s="3"/>
      <c r="JI2" s="3"/>
      <c r="JJ2" s="3"/>
      <c r="JK2" s="3"/>
      <c r="JL2" s="3"/>
      <c r="JM2" s="3"/>
      <c r="JN2" s="3"/>
      <c r="JO2" s="3"/>
      <c r="JP2" s="3"/>
      <c r="JQ2" s="3"/>
      <c r="JR2" s="3"/>
      <c r="JS2" s="3"/>
      <c r="JT2" s="3"/>
      <c r="JU2" s="3"/>
      <c r="JV2" s="3"/>
      <c r="JW2" s="3"/>
      <c r="JX2" s="3"/>
      <c r="JY2" s="3"/>
      <c r="JZ2" s="3"/>
      <c r="KA2" s="3"/>
      <c r="KB2" s="3"/>
      <c r="KC2" s="3"/>
      <c r="KD2" s="3"/>
      <c r="KE2" s="3"/>
      <c r="KF2" s="3"/>
      <c r="KG2" s="3"/>
      <c r="KH2" s="3"/>
      <c r="KI2" s="3"/>
      <c r="KJ2" s="3"/>
      <c r="KK2" s="3"/>
      <c r="KL2" s="3"/>
      <c r="KM2" s="3"/>
      <c r="KN2" s="3"/>
      <c r="KO2" s="3"/>
      <c r="KP2" s="3"/>
      <c r="KQ2" s="3"/>
      <c r="KR2" s="3"/>
      <c r="KS2" s="3"/>
      <c r="KT2" s="3"/>
      <c r="KU2" s="3"/>
      <c r="KV2" s="3"/>
      <c r="KW2" s="3"/>
      <c r="KX2" s="3"/>
      <c r="KY2" s="3"/>
      <c r="KZ2" s="3"/>
      <c r="LA2" s="3"/>
      <c r="LB2" s="3"/>
      <c r="LC2" s="3"/>
      <c r="LD2" s="3"/>
      <c r="LE2" s="3"/>
      <c r="LF2" s="3"/>
      <c r="LG2" s="3"/>
      <c r="LH2" s="3"/>
      <c r="LI2" s="3"/>
      <c r="LJ2" s="3"/>
      <c r="LK2" s="3"/>
      <c r="LL2" s="3"/>
      <c r="LM2" s="3"/>
      <c r="LN2" s="3"/>
      <c r="LO2" s="3"/>
      <c r="LP2" s="3"/>
      <c r="LQ2" s="3"/>
      <c r="LR2" s="3"/>
      <c r="LS2" s="3"/>
      <c r="LT2" s="3"/>
      <c r="LU2" s="3"/>
      <c r="LV2" s="3"/>
      <c r="LW2" s="3"/>
      <c r="LX2" s="3"/>
      <c r="LY2" s="3"/>
      <c r="LZ2" s="3"/>
      <c r="MA2" s="3"/>
      <c r="MB2" s="3"/>
      <c r="MC2" s="3"/>
      <c r="MD2" s="3"/>
      <c r="ME2" s="3"/>
      <c r="MF2" s="3"/>
      <c r="MG2" s="3"/>
      <c r="MH2" s="3"/>
      <c r="MI2" s="3"/>
      <c r="MJ2" s="3"/>
      <c r="MK2" s="3"/>
      <c r="ML2" s="3"/>
      <c r="MM2" s="3"/>
      <c r="MN2" s="3"/>
      <c r="MO2" s="3"/>
      <c r="MP2" s="3"/>
      <c r="MQ2" s="3"/>
      <c r="MR2" s="3"/>
      <c r="MS2" s="3"/>
      <c r="MT2" s="3"/>
      <c r="MU2" s="3"/>
      <c r="MV2" s="3"/>
      <c r="MW2" s="3"/>
      <c r="MX2" s="3"/>
      <c r="MY2" s="3"/>
      <c r="MZ2" s="3"/>
      <c r="NA2" s="3"/>
      <c r="NB2" s="3"/>
      <c r="NC2" s="3"/>
      <c r="ND2" s="3"/>
      <c r="NE2" s="3"/>
      <c r="NF2" s="3"/>
      <c r="NG2" s="3"/>
      <c r="NH2" s="3"/>
      <c r="NI2" s="3"/>
      <c r="NJ2" s="3"/>
      <c r="NK2" s="3"/>
      <c r="NL2" s="3"/>
      <c r="NM2" s="3"/>
      <c r="NN2" s="3"/>
      <c r="NO2" s="3"/>
      <c r="NP2" s="3"/>
      <c r="NQ2" s="3"/>
      <c r="NR2" s="3"/>
      <c r="NS2" s="3"/>
      <c r="NT2" s="3"/>
      <c r="NU2" s="3"/>
      <c r="NV2" s="3"/>
      <c r="NW2" s="3"/>
      <c r="NX2" s="3"/>
      <c r="NY2" s="3"/>
      <c r="NZ2" s="3"/>
      <c r="OA2" s="3"/>
      <c r="OB2" s="3"/>
      <c r="OC2" s="3"/>
      <c r="OD2" s="3"/>
      <c r="OE2" s="3"/>
      <c r="OF2" s="3"/>
      <c r="OG2" s="3"/>
      <c r="OH2" s="3"/>
      <c r="OI2" s="3"/>
      <c r="OJ2" s="3"/>
      <c r="OK2" s="3"/>
      <c r="OL2" s="2"/>
    </row>
    <row r="3" spans="1:402" ht="15" customHeight="1" x14ac:dyDescent="0.25">
      <c r="A3" s="2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7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7"/>
      <c r="AR3" s="1"/>
      <c r="AS3" s="1"/>
      <c r="AT3" s="1"/>
      <c r="AU3" s="1"/>
      <c r="AV3" s="7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7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2"/>
    </row>
    <row r="4" spans="1:402" ht="15" customHeight="1" x14ac:dyDescent="0.25">
      <c r="A4" s="2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1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11"/>
      <c r="AQ4" s="1"/>
      <c r="AR4" s="1"/>
      <c r="AS4" s="1"/>
      <c r="AT4" s="1"/>
      <c r="AU4" s="1"/>
      <c r="AV4" s="1"/>
      <c r="AW4" s="11"/>
      <c r="AX4" s="29"/>
      <c r="AY4" s="29"/>
      <c r="AZ4" s="29"/>
      <c r="BA4" s="29"/>
      <c r="BB4" s="29"/>
      <c r="BC4" s="29"/>
      <c r="BD4" s="29"/>
      <c r="BE4" s="29"/>
      <c r="BF4" s="29"/>
      <c r="BG4" s="29"/>
      <c r="BH4" s="29"/>
      <c r="BI4" s="29"/>
      <c r="BJ4" s="1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2"/>
    </row>
    <row r="5" spans="1:402" ht="15" customHeight="1" x14ac:dyDescent="0.2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7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7"/>
      <c r="AQ5" s="1"/>
      <c r="AR5" s="1"/>
      <c r="AS5" s="1"/>
      <c r="AT5" s="1"/>
      <c r="AU5" s="1"/>
      <c r="AV5" s="1"/>
      <c r="AW5" s="7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7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1"/>
      <c r="MM5" s="1"/>
      <c r="MN5" s="1"/>
      <c r="MO5" s="1"/>
      <c r="MP5" s="1"/>
      <c r="MQ5" s="1"/>
      <c r="MR5" s="1"/>
      <c r="MS5" s="1"/>
      <c r="MT5" s="1"/>
      <c r="MU5" s="1"/>
      <c r="MV5" s="1"/>
      <c r="MW5" s="1"/>
      <c r="MX5" s="1"/>
      <c r="MY5" s="1"/>
      <c r="MZ5" s="1"/>
      <c r="NA5" s="1"/>
      <c r="NB5" s="1"/>
      <c r="NC5" s="1"/>
      <c r="ND5" s="1"/>
      <c r="NE5" s="1"/>
      <c r="NF5" s="1"/>
      <c r="NG5" s="1"/>
      <c r="NH5" s="1"/>
      <c r="NI5" s="1"/>
      <c r="NJ5" s="1"/>
      <c r="NK5" s="1"/>
      <c r="NL5" s="1"/>
      <c r="NM5" s="1"/>
      <c r="NN5" s="1"/>
      <c r="NO5" s="1"/>
      <c r="NP5" s="1"/>
      <c r="NQ5" s="1"/>
      <c r="NR5" s="1"/>
      <c r="NS5" s="1"/>
      <c r="NT5" s="1"/>
      <c r="NU5" s="1"/>
      <c r="NV5" s="1"/>
      <c r="NW5" s="1"/>
      <c r="NX5" s="1"/>
      <c r="NY5" s="1"/>
      <c r="NZ5" s="1"/>
      <c r="OA5" s="1"/>
      <c r="OB5" s="1"/>
      <c r="OC5" s="1"/>
      <c r="OD5" s="1"/>
      <c r="OE5" s="1"/>
      <c r="OF5" s="1"/>
      <c r="OG5" s="1"/>
      <c r="OH5" s="1"/>
      <c r="OI5" s="1"/>
      <c r="OJ5" s="1"/>
      <c r="OK5" s="1"/>
      <c r="OL5" s="2"/>
    </row>
    <row r="6" spans="1:402" ht="15" customHeight="1" x14ac:dyDescent="0.25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1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11"/>
      <c r="AP6" s="1"/>
      <c r="AQ6" s="1"/>
      <c r="AR6" s="1"/>
      <c r="AS6" s="1"/>
      <c r="AT6" s="1"/>
      <c r="AU6" s="1"/>
      <c r="AV6" s="1"/>
      <c r="AW6" s="1"/>
      <c r="AX6" s="11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1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  <c r="IX6" s="1"/>
      <c r="IY6" s="1"/>
      <c r="IZ6" s="1"/>
      <c r="JA6" s="1"/>
      <c r="JB6" s="1"/>
      <c r="JC6" s="1"/>
      <c r="JD6" s="1"/>
      <c r="JE6" s="1"/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  <c r="KT6" s="1"/>
      <c r="KU6" s="1"/>
      <c r="KV6" s="1"/>
      <c r="KW6" s="1"/>
      <c r="KX6" s="1"/>
      <c r="KY6" s="1"/>
      <c r="KZ6" s="1"/>
      <c r="LA6" s="1"/>
      <c r="LB6" s="1"/>
      <c r="LC6" s="1"/>
      <c r="LD6" s="1"/>
      <c r="LE6" s="1"/>
      <c r="LF6" s="1"/>
      <c r="LG6" s="1"/>
      <c r="LH6" s="1"/>
      <c r="LI6" s="1"/>
      <c r="LJ6" s="1"/>
      <c r="LK6" s="1"/>
      <c r="LL6" s="1"/>
      <c r="LM6" s="1"/>
      <c r="LN6" s="1"/>
      <c r="LO6" s="1"/>
      <c r="LP6" s="1"/>
      <c r="LQ6" s="1"/>
      <c r="LR6" s="1"/>
      <c r="LS6" s="1"/>
      <c r="LT6" s="1"/>
      <c r="LU6" s="1"/>
      <c r="LV6" s="1"/>
      <c r="LW6" s="1"/>
      <c r="LX6" s="1"/>
      <c r="LY6" s="1"/>
      <c r="LZ6" s="1"/>
      <c r="MA6" s="1"/>
      <c r="MB6" s="1"/>
      <c r="MC6" s="1"/>
      <c r="MD6" s="1"/>
      <c r="ME6" s="1"/>
      <c r="MF6" s="1"/>
      <c r="MG6" s="1"/>
      <c r="MH6" s="1"/>
      <c r="MI6" s="1"/>
      <c r="MJ6" s="1"/>
      <c r="MK6" s="1"/>
      <c r="ML6" s="1"/>
      <c r="MM6" s="1"/>
      <c r="MN6" s="1"/>
      <c r="MO6" s="1"/>
      <c r="MP6" s="1"/>
      <c r="MQ6" s="1"/>
      <c r="MR6" s="1"/>
      <c r="MS6" s="1"/>
      <c r="MT6" s="1"/>
      <c r="MU6" s="1"/>
      <c r="MV6" s="1"/>
      <c r="MW6" s="1"/>
      <c r="MX6" s="1"/>
      <c r="MY6" s="1"/>
      <c r="MZ6" s="1"/>
      <c r="NA6" s="1"/>
      <c r="NB6" s="1"/>
      <c r="NC6" s="1"/>
      <c r="ND6" s="1"/>
      <c r="NE6" s="1"/>
      <c r="NF6" s="1"/>
      <c r="NG6" s="1"/>
      <c r="NH6" s="1"/>
      <c r="NI6" s="1"/>
      <c r="NJ6" s="1"/>
      <c r="NK6" s="1"/>
      <c r="NL6" s="1"/>
      <c r="NM6" s="1"/>
      <c r="NN6" s="1"/>
      <c r="NO6" s="1"/>
      <c r="NP6" s="1"/>
      <c r="NQ6" s="1"/>
      <c r="NR6" s="1"/>
      <c r="NS6" s="1"/>
      <c r="NT6" s="1"/>
      <c r="NU6" s="1"/>
      <c r="NV6" s="1"/>
      <c r="NW6" s="1"/>
      <c r="NX6" s="1"/>
      <c r="NY6" s="1"/>
      <c r="NZ6" s="1"/>
      <c r="OA6" s="1"/>
      <c r="OB6" s="1"/>
      <c r="OC6" s="1"/>
      <c r="OD6" s="1"/>
      <c r="OE6" s="1"/>
      <c r="OF6" s="1"/>
      <c r="OG6" s="1"/>
      <c r="OH6" s="1"/>
      <c r="OI6" s="1"/>
      <c r="OJ6" s="1"/>
      <c r="OK6" s="1"/>
      <c r="OL6" s="2"/>
    </row>
    <row r="7" spans="1:402" ht="15" customHeight="1" x14ac:dyDescent="0.25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1"/>
      <c r="AF7" s="29"/>
      <c r="AG7" s="29"/>
      <c r="AH7" s="29"/>
      <c r="AI7" s="29"/>
      <c r="AJ7" s="29"/>
      <c r="AK7" s="29"/>
      <c r="AL7" s="29"/>
      <c r="AM7" s="29"/>
      <c r="AN7" s="11"/>
      <c r="AO7" s="1"/>
      <c r="AP7" s="1"/>
      <c r="AQ7" s="1"/>
      <c r="AR7" s="1"/>
      <c r="AS7" s="1"/>
      <c r="AT7" s="1"/>
      <c r="AU7" s="1"/>
      <c r="AV7" s="1"/>
      <c r="AW7" s="1"/>
      <c r="AX7" s="1"/>
      <c r="AY7" s="11"/>
      <c r="AZ7" s="29"/>
      <c r="BA7" s="29"/>
      <c r="BB7" s="29"/>
      <c r="BC7" s="29"/>
      <c r="BD7" s="29"/>
      <c r="BE7" s="29"/>
      <c r="BF7" s="29"/>
      <c r="BG7" s="29"/>
      <c r="BH7" s="1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"/>
      <c r="NK7" s="1"/>
      <c r="NL7" s="1"/>
      <c r="NM7" s="1"/>
      <c r="NN7" s="1"/>
      <c r="NO7" s="1"/>
      <c r="NP7" s="1"/>
      <c r="NQ7" s="1"/>
      <c r="NR7" s="1"/>
      <c r="NS7" s="1"/>
      <c r="NT7" s="1"/>
      <c r="NU7" s="1"/>
      <c r="NV7" s="1"/>
      <c r="NW7" s="1"/>
      <c r="NX7" s="1"/>
      <c r="NY7" s="1"/>
      <c r="NZ7" s="1"/>
      <c r="OA7" s="1"/>
      <c r="OB7" s="1"/>
      <c r="OC7" s="1"/>
      <c r="OD7" s="1"/>
      <c r="OE7" s="1"/>
      <c r="OF7" s="1"/>
      <c r="OG7" s="1"/>
      <c r="OH7" s="1"/>
      <c r="OI7" s="1"/>
      <c r="OJ7" s="1"/>
      <c r="OK7" s="1"/>
      <c r="OL7" s="2"/>
    </row>
    <row r="8" spans="1:402" ht="15" customHeight="1" x14ac:dyDescent="0.25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3"/>
      <c r="AG8" s="11"/>
      <c r="AH8" s="29"/>
      <c r="AI8" s="29"/>
      <c r="AJ8" s="29"/>
      <c r="AK8" s="29"/>
      <c r="AL8" s="11"/>
      <c r="AM8" s="3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3"/>
      <c r="BA8" s="11"/>
      <c r="BB8" s="29"/>
      <c r="BC8" s="29"/>
      <c r="BD8" s="29"/>
      <c r="BE8" s="29"/>
      <c r="BF8" s="11"/>
      <c r="BG8" s="3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  <c r="NE8" s="1"/>
      <c r="NF8" s="1"/>
      <c r="NG8" s="1"/>
      <c r="NH8" s="1"/>
      <c r="NI8" s="1"/>
      <c r="NJ8" s="1"/>
      <c r="NK8" s="1"/>
      <c r="NL8" s="1"/>
      <c r="NM8" s="1"/>
      <c r="NN8" s="1"/>
      <c r="NO8" s="1"/>
      <c r="NP8" s="1"/>
      <c r="NQ8" s="1"/>
      <c r="NR8" s="1"/>
      <c r="NS8" s="1"/>
      <c r="NT8" s="1"/>
      <c r="NU8" s="1"/>
      <c r="NV8" s="1"/>
      <c r="NW8" s="1"/>
      <c r="NX8" s="1"/>
      <c r="NY8" s="1"/>
      <c r="NZ8" s="1"/>
      <c r="OA8" s="1"/>
      <c r="OB8" s="1"/>
      <c r="OC8" s="1"/>
      <c r="OD8" s="1"/>
      <c r="OE8" s="1"/>
      <c r="OF8" s="1"/>
      <c r="OG8" s="1"/>
      <c r="OH8" s="1"/>
      <c r="OI8" s="1"/>
      <c r="OJ8" s="1"/>
      <c r="OK8" s="1"/>
      <c r="OL8" s="2"/>
    </row>
    <row r="9" spans="1:402" ht="15" customHeight="1" x14ac:dyDescent="0.25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3"/>
      <c r="AI9" s="3"/>
      <c r="AJ9" s="3"/>
      <c r="AK9" s="3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3"/>
      <c r="BC9" s="3"/>
      <c r="BD9" s="3"/>
      <c r="BE9" s="3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  <c r="NE9" s="1"/>
      <c r="NF9" s="1"/>
      <c r="NG9" s="1"/>
      <c r="NH9" s="1"/>
      <c r="NI9" s="1"/>
      <c r="NJ9" s="1"/>
      <c r="NK9" s="1"/>
      <c r="NL9" s="1"/>
      <c r="NM9" s="1"/>
      <c r="NN9" s="1"/>
      <c r="NO9" s="1"/>
      <c r="NP9" s="1"/>
      <c r="NQ9" s="1"/>
      <c r="NR9" s="1"/>
      <c r="NS9" s="1"/>
      <c r="NT9" s="1"/>
      <c r="NU9" s="1"/>
      <c r="NV9" s="1"/>
      <c r="NW9" s="1"/>
      <c r="NX9" s="1"/>
      <c r="NY9" s="1"/>
      <c r="NZ9" s="1"/>
      <c r="OA9" s="1"/>
      <c r="OB9" s="1"/>
      <c r="OC9" s="1"/>
      <c r="OD9" s="1"/>
      <c r="OE9" s="1"/>
      <c r="OF9" s="1"/>
      <c r="OG9" s="1"/>
      <c r="OH9" s="1"/>
      <c r="OI9" s="1"/>
      <c r="OJ9" s="1"/>
      <c r="OK9" s="1"/>
      <c r="OL9" s="2"/>
    </row>
    <row r="10" spans="1:402" ht="15" customHeight="1" x14ac:dyDescent="0.25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  <c r="NE10" s="1"/>
      <c r="NF10" s="1"/>
      <c r="NG10" s="1"/>
      <c r="NH10" s="1"/>
      <c r="NI10" s="1"/>
      <c r="NJ10" s="1"/>
      <c r="NK10" s="1"/>
      <c r="NL10" s="1"/>
      <c r="NM10" s="1"/>
      <c r="NN10" s="1"/>
      <c r="NO10" s="1"/>
      <c r="NP10" s="1"/>
      <c r="NQ10" s="1"/>
      <c r="NR10" s="1"/>
      <c r="NS10" s="1"/>
      <c r="NT10" s="1"/>
      <c r="NU10" s="1"/>
      <c r="NV10" s="1"/>
      <c r="NW10" s="1"/>
      <c r="NX10" s="1"/>
      <c r="NY10" s="1"/>
      <c r="NZ10" s="1"/>
      <c r="OA10" s="1"/>
      <c r="OB10" s="1"/>
      <c r="OC10" s="1"/>
      <c r="OD10" s="1"/>
      <c r="OE10" s="1"/>
      <c r="OF10" s="1"/>
      <c r="OG10" s="1"/>
      <c r="OH10" s="1"/>
      <c r="OI10" s="1"/>
      <c r="OJ10" s="1"/>
      <c r="OK10" s="1"/>
      <c r="OL10" s="2"/>
    </row>
    <row r="11" spans="1:402" ht="15" customHeight="1" x14ac:dyDescent="0.25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  <c r="NE11" s="1"/>
      <c r="NF11" s="1"/>
      <c r="NG11" s="1"/>
      <c r="NH11" s="1"/>
      <c r="NI11" s="1"/>
      <c r="NJ11" s="1"/>
      <c r="NK11" s="1"/>
      <c r="NL11" s="1"/>
      <c r="NM11" s="1"/>
      <c r="NN11" s="1"/>
      <c r="NO11" s="1"/>
      <c r="NP11" s="1"/>
      <c r="NQ11" s="1"/>
      <c r="NR11" s="1"/>
      <c r="NS11" s="1"/>
      <c r="NT11" s="1"/>
      <c r="NU11" s="1"/>
      <c r="NV11" s="1"/>
      <c r="NW11" s="1"/>
      <c r="NX11" s="1"/>
      <c r="NY11" s="1"/>
      <c r="NZ11" s="1"/>
      <c r="OA11" s="1"/>
      <c r="OB11" s="1"/>
      <c r="OC11" s="1"/>
      <c r="OD11" s="1"/>
      <c r="OE11" s="1"/>
      <c r="OF11" s="1"/>
      <c r="OG11" s="1"/>
      <c r="OH11" s="1"/>
      <c r="OI11" s="1"/>
      <c r="OJ11" s="1"/>
      <c r="OK11" s="1"/>
      <c r="OL11" s="2"/>
    </row>
    <row r="12" spans="1:402" ht="15" customHeight="1" x14ac:dyDescent="0.25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  <c r="NE12" s="1"/>
      <c r="NF12" s="1"/>
      <c r="NG12" s="1"/>
      <c r="NH12" s="1"/>
      <c r="NI12" s="1"/>
      <c r="NJ12" s="1"/>
      <c r="NK12" s="1"/>
      <c r="NL12" s="1"/>
      <c r="NM12" s="1"/>
      <c r="NN12" s="1"/>
      <c r="NO12" s="1"/>
      <c r="NP12" s="1"/>
      <c r="NQ12" s="1"/>
      <c r="NR12" s="1"/>
      <c r="NS12" s="1"/>
      <c r="NT12" s="1"/>
      <c r="NU12" s="1"/>
      <c r="NV12" s="1"/>
      <c r="NW12" s="1"/>
      <c r="NX12" s="1"/>
      <c r="NY12" s="1"/>
      <c r="NZ12" s="1"/>
      <c r="OA12" s="1"/>
      <c r="OB12" s="1"/>
      <c r="OC12" s="1"/>
      <c r="OD12" s="1"/>
      <c r="OE12" s="1"/>
      <c r="OF12" s="1"/>
      <c r="OG12" s="1"/>
      <c r="OH12" s="1"/>
      <c r="OI12" s="1"/>
      <c r="OJ12" s="1"/>
      <c r="OK12" s="1"/>
      <c r="OL12" s="2"/>
    </row>
    <row r="13" spans="1:402" ht="15" customHeight="1" x14ac:dyDescent="0.25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  <c r="NE13" s="1"/>
      <c r="NF13" s="1"/>
      <c r="NG13" s="1"/>
      <c r="NH13" s="1"/>
      <c r="NI13" s="1"/>
      <c r="NJ13" s="1"/>
      <c r="NK13" s="1"/>
      <c r="NL13" s="1"/>
      <c r="NM13" s="1"/>
      <c r="NN13" s="1"/>
      <c r="NO13" s="1"/>
      <c r="NP13" s="1"/>
      <c r="NQ13" s="1"/>
      <c r="NR13" s="1"/>
      <c r="NS13" s="1"/>
      <c r="NT13" s="1"/>
      <c r="NU13" s="1"/>
      <c r="NV13" s="1"/>
      <c r="NW13" s="1"/>
      <c r="NX13" s="1"/>
      <c r="NY13" s="1"/>
      <c r="NZ13" s="1"/>
      <c r="OA13" s="1"/>
      <c r="OB13" s="1"/>
      <c r="OC13" s="1"/>
      <c r="OD13" s="1"/>
      <c r="OE13" s="1"/>
      <c r="OF13" s="1"/>
      <c r="OG13" s="1"/>
      <c r="OH13" s="1"/>
      <c r="OI13" s="1"/>
      <c r="OJ13" s="1"/>
      <c r="OK13" s="1"/>
      <c r="OL13" s="2"/>
    </row>
    <row r="14" spans="1:402" ht="15" customHeight="1" x14ac:dyDescent="0.25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3"/>
      <c r="AI14" s="3"/>
      <c r="AJ14" s="3"/>
      <c r="AK14" s="3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3"/>
      <c r="BC14" s="3"/>
      <c r="BD14" s="3"/>
      <c r="BE14" s="3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  <c r="NE14" s="1"/>
      <c r="NF14" s="1"/>
      <c r="NG14" s="1"/>
      <c r="NH14" s="1"/>
      <c r="NI14" s="1"/>
      <c r="NJ14" s="1"/>
      <c r="NK14" s="1"/>
      <c r="NL14" s="1"/>
      <c r="NM14" s="1"/>
      <c r="NN14" s="1"/>
      <c r="NO14" s="1"/>
      <c r="NP14" s="1"/>
      <c r="NQ14" s="1"/>
      <c r="NR14" s="1"/>
      <c r="NS14" s="1"/>
      <c r="NT14" s="1"/>
      <c r="NU14" s="1"/>
      <c r="NV14" s="1"/>
      <c r="NW14" s="1"/>
      <c r="NX14" s="1"/>
      <c r="NY14" s="1"/>
      <c r="NZ14" s="1"/>
      <c r="OA14" s="1"/>
      <c r="OB14" s="1"/>
      <c r="OC14" s="1"/>
      <c r="OD14" s="1"/>
      <c r="OE14" s="1"/>
      <c r="OF14" s="1"/>
      <c r="OG14" s="1"/>
      <c r="OH14" s="1"/>
      <c r="OI14" s="1"/>
      <c r="OJ14" s="1"/>
      <c r="OK14" s="1"/>
      <c r="OL14" s="2"/>
    </row>
    <row r="15" spans="1:402" ht="15" customHeight="1" x14ac:dyDescent="0.25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3"/>
      <c r="AG15" s="11"/>
      <c r="AH15" s="29"/>
      <c r="AI15" s="29"/>
      <c r="AJ15" s="29"/>
      <c r="AK15" s="29"/>
      <c r="AL15" s="11"/>
      <c r="AM15" s="3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3"/>
      <c r="BA15" s="11"/>
      <c r="BB15" s="29"/>
      <c r="BC15" s="29"/>
      <c r="BD15" s="29"/>
      <c r="BE15" s="29"/>
      <c r="BF15" s="11"/>
      <c r="BG15" s="3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  <c r="NE15" s="1"/>
      <c r="NF15" s="1"/>
      <c r="NG15" s="1"/>
      <c r="NH15" s="1"/>
      <c r="NI15" s="1"/>
      <c r="NJ15" s="1"/>
      <c r="NK15" s="1"/>
      <c r="NL15" s="1"/>
      <c r="NM15" s="1"/>
      <c r="NN15" s="1"/>
      <c r="NO15" s="1"/>
      <c r="NP15" s="1"/>
      <c r="NQ15" s="1"/>
      <c r="NR15" s="1"/>
      <c r="NS15" s="1"/>
      <c r="NT15" s="1"/>
      <c r="NU15" s="1"/>
      <c r="NV15" s="1"/>
      <c r="NW15" s="1"/>
      <c r="NX15" s="1"/>
      <c r="NY15" s="1"/>
      <c r="NZ15" s="1"/>
      <c r="OA15" s="1"/>
      <c r="OB15" s="1"/>
      <c r="OC15" s="1"/>
      <c r="OD15" s="1"/>
      <c r="OE15" s="1"/>
      <c r="OF15" s="1"/>
      <c r="OG15" s="1"/>
      <c r="OH15" s="1"/>
      <c r="OI15" s="1"/>
      <c r="OJ15" s="1"/>
      <c r="OK15" s="1"/>
      <c r="OL15" s="2"/>
    </row>
    <row r="16" spans="1:402" ht="15" customHeight="1" x14ac:dyDescent="0.25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1"/>
      <c r="AF16" s="29"/>
      <c r="AG16" s="29"/>
      <c r="AH16" s="29"/>
      <c r="AI16" s="29"/>
      <c r="AJ16" s="29"/>
      <c r="AK16" s="29"/>
      <c r="AL16" s="29"/>
      <c r="AM16" s="29"/>
      <c r="AN16" s="1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1"/>
      <c r="AZ16" s="29"/>
      <c r="BA16" s="29"/>
      <c r="BB16" s="29"/>
      <c r="BC16" s="29"/>
      <c r="BD16" s="29"/>
      <c r="BE16" s="29"/>
      <c r="BF16" s="29"/>
      <c r="BG16" s="29"/>
      <c r="BH16" s="1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  <c r="NE16" s="1"/>
      <c r="NF16" s="1"/>
      <c r="NG16" s="1"/>
      <c r="NH16" s="1"/>
      <c r="NI16" s="1"/>
      <c r="NJ16" s="1"/>
      <c r="NK16" s="1"/>
      <c r="NL16" s="1"/>
      <c r="NM16" s="1"/>
      <c r="NN16" s="1"/>
      <c r="NO16" s="1"/>
      <c r="NP16" s="1"/>
      <c r="NQ16" s="1"/>
      <c r="NR16" s="1"/>
      <c r="NS16" s="1"/>
      <c r="NT16" s="1"/>
      <c r="NU16" s="1"/>
      <c r="NV16" s="1"/>
      <c r="NW16" s="1"/>
      <c r="NX16" s="1"/>
      <c r="NY16" s="1"/>
      <c r="NZ16" s="1"/>
      <c r="OA16" s="1"/>
      <c r="OB16" s="1"/>
      <c r="OC16" s="1"/>
      <c r="OD16" s="1"/>
      <c r="OE16" s="1"/>
      <c r="OF16" s="1"/>
      <c r="OG16" s="1"/>
      <c r="OH16" s="1"/>
      <c r="OI16" s="1"/>
      <c r="OJ16" s="1"/>
      <c r="OK16" s="1"/>
      <c r="OL16" s="2"/>
    </row>
    <row r="17" spans="1:402" ht="15" customHeight="1" x14ac:dyDescent="0.25">
      <c r="A17" s="2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1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11"/>
      <c r="AP17" s="1"/>
      <c r="AQ17" s="1"/>
      <c r="AR17" s="1"/>
      <c r="AS17" s="1"/>
      <c r="AT17" s="1"/>
      <c r="AU17" s="1"/>
      <c r="AV17" s="1"/>
      <c r="AW17" s="1"/>
      <c r="AX17" s="11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1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  <c r="NE17" s="1"/>
      <c r="NF17" s="1"/>
      <c r="NG17" s="1"/>
      <c r="NH17" s="1"/>
      <c r="NI17" s="1"/>
      <c r="NJ17" s="1"/>
      <c r="NK17" s="1"/>
      <c r="NL17" s="1"/>
      <c r="NM17" s="1"/>
      <c r="NN17" s="1"/>
      <c r="NO17" s="1"/>
      <c r="NP17" s="1"/>
      <c r="NQ17" s="1"/>
      <c r="NR17" s="1"/>
      <c r="NS17" s="1"/>
      <c r="NT17" s="1"/>
      <c r="NU17" s="1"/>
      <c r="NV17" s="1"/>
      <c r="NW17" s="1"/>
      <c r="NX17" s="1"/>
      <c r="NY17" s="1"/>
      <c r="NZ17" s="1"/>
      <c r="OA17" s="1"/>
      <c r="OB17" s="1"/>
      <c r="OC17" s="1"/>
      <c r="OD17" s="1"/>
      <c r="OE17" s="1"/>
      <c r="OF17" s="1"/>
      <c r="OG17" s="1"/>
      <c r="OH17" s="1"/>
      <c r="OI17" s="1"/>
      <c r="OJ17" s="1"/>
      <c r="OK17" s="1"/>
      <c r="OL17" s="2"/>
    </row>
    <row r="18" spans="1:402" ht="15" customHeight="1" x14ac:dyDescent="0.25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7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7"/>
      <c r="AQ18" s="1"/>
      <c r="AR18" s="1"/>
      <c r="AS18" s="1"/>
      <c r="AT18" s="1"/>
      <c r="AU18" s="1"/>
      <c r="AV18" s="1"/>
      <c r="AW18" s="7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7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  <c r="NE18" s="1"/>
      <c r="NF18" s="1"/>
      <c r="NG18" s="1"/>
      <c r="NH18" s="1"/>
      <c r="NI18" s="1"/>
      <c r="NJ18" s="1"/>
      <c r="NK18" s="1"/>
      <c r="NL18" s="1"/>
      <c r="NM18" s="1"/>
      <c r="NN18" s="1"/>
      <c r="NO18" s="1"/>
      <c r="NP18" s="1"/>
      <c r="NQ18" s="1"/>
      <c r="NR18" s="1"/>
      <c r="NS18" s="1"/>
      <c r="NT18" s="1"/>
      <c r="NU18" s="1"/>
      <c r="NV18" s="1"/>
      <c r="NW18" s="1"/>
      <c r="NX18" s="1"/>
      <c r="NY18" s="1"/>
      <c r="NZ18" s="1"/>
      <c r="OA18" s="1"/>
      <c r="OB18" s="1"/>
      <c r="OC18" s="1"/>
      <c r="OD18" s="1"/>
      <c r="OE18" s="1"/>
      <c r="OF18" s="1"/>
      <c r="OG18" s="1"/>
      <c r="OH18" s="1"/>
      <c r="OI18" s="1"/>
      <c r="OJ18" s="1"/>
      <c r="OK18" s="1"/>
      <c r="OL18" s="2"/>
    </row>
    <row r="19" spans="1:402" ht="15" customHeight="1" x14ac:dyDescent="0.25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1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11"/>
      <c r="AQ19" s="1"/>
      <c r="AR19" s="1"/>
      <c r="AS19" s="1"/>
      <c r="AT19" s="1"/>
      <c r="AU19" s="1"/>
      <c r="AV19" s="1"/>
      <c r="AW19" s="11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1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  <c r="NE19" s="1"/>
      <c r="NF19" s="1"/>
      <c r="NG19" s="1"/>
      <c r="NH19" s="1"/>
      <c r="NI19" s="1"/>
      <c r="NJ19" s="1"/>
      <c r="NK19" s="1"/>
      <c r="NL19" s="1"/>
      <c r="NM19" s="1"/>
      <c r="NN19" s="1"/>
      <c r="NO19" s="1"/>
      <c r="NP19" s="1"/>
      <c r="NQ19" s="1"/>
      <c r="NR19" s="1"/>
      <c r="NS19" s="1"/>
      <c r="NT19" s="1"/>
      <c r="NU19" s="1"/>
      <c r="NV19" s="1"/>
      <c r="NW19" s="1"/>
      <c r="NX19" s="1"/>
      <c r="NY19" s="1"/>
      <c r="NZ19" s="1"/>
      <c r="OA19" s="1"/>
      <c r="OB19" s="1"/>
      <c r="OC19" s="1"/>
      <c r="OD19" s="1"/>
      <c r="OE19" s="1"/>
      <c r="OF19" s="1"/>
      <c r="OG19" s="1"/>
      <c r="OH19" s="1"/>
      <c r="OI19" s="1"/>
      <c r="OJ19" s="1"/>
      <c r="OK19" s="1"/>
      <c r="OL19" s="2"/>
    </row>
    <row r="20" spans="1:402" ht="15" customHeight="1" x14ac:dyDescent="0.25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7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7"/>
      <c r="AR20" s="1"/>
      <c r="AS20" s="1"/>
      <c r="AT20" s="1"/>
      <c r="AU20" s="1"/>
      <c r="AV20" s="7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7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"/>
      <c r="NK20" s="1"/>
      <c r="NL20" s="1"/>
      <c r="NM20" s="1"/>
      <c r="NN20" s="1"/>
      <c r="NO20" s="1"/>
      <c r="NP20" s="1"/>
      <c r="NQ20" s="1"/>
      <c r="NR20" s="1"/>
      <c r="NS20" s="1"/>
      <c r="NT20" s="1"/>
      <c r="NU20" s="1"/>
      <c r="NV20" s="1"/>
      <c r="NW20" s="1"/>
      <c r="NX20" s="1"/>
      <c r="NY20" s="1"/>
      <c r="NZ20" s="1"/>
      <c r="OA20" s="1"/>
      <c r="OB20" s="1"/>
      <c r="OC20" s="1"/>
      <c r="OD20" s="1"/>
      <c r="OE20" s="1"/>
      <c r="OF20" s="1"/>
      <c r="OG20" s="1"/>
      <c r="OH20" s="1"/>
      <c r="OI20" s="1"/>
      <c r="OJ20" s="1"/>
      <c r="OK20" s="1"/>
      <c r="OL20" s="2"/>
    </row>
    <row r="21" spans="1:402" ht="15" customHeight="1" x14ac:dyDescent="0.25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7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7"/>
      <c r="AR21" s="1"/>
      <c r="AS21" s="1"/>
      <c r="AT21" s="1"/>
      <c r="AU21" s="1"/>
      <c r="AV21" s="7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7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1"/>
      <c r="NK21" s="1"/>
      <c r="NL21" s="1"/>
      <c r="NM21" s="1"/>
      <c r="NN21" s="1"/>
      <c r="NO21" s="1"/>
      <c r="NP21" s="1"/>
      <c r="NQ21" s="1"/>
      <c r="NR21" s="1"/>
      <c r="NS21" s="1"/>
      <c r="NT21" s="1"/>
      <c r="NU21" s="1"/>
      <c r="NV21" s="1"/>
      <c r="NW21" s="1"/>
      <c r="NX21" s="1"/>
      <c r="NY21" s="1"/>
      <c r="NZ21" s="1"/>
      <c r="OA21" s="1"/>
      <c r="OB21" s="1"/>
      <c r="OC21" s="1"/>
      <c r="OD21" s="1"/>
      <c r="OE21" s="1"/>
      <c r="OF21" s="1"/>
      <c r="OG21" s="1"/>
      <c r="OH21" s="1"/>
      <c r="OI21" s="1"/>
      <c r="OJ21" s="1"/>
      <c r="OK21" s="1"/>
      <c r="OL21" s="2"/>
    </row>
    <row r="22" spans="1:402" ht="15" customHeight="1" x14ac:dyDescent="0.25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7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7"/>
      <c r="AR22" s="1"/>
      <c r="AS22" s="1"/>
      <c r="AT22" s="1"/>
      <c r="AU22" s="1"/>
      <c r="AV22" s="7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7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  <c r="NE22" s="1"/>
      <c r="NF22" s="1"/>
      <c r="NG22" s="1"/>
      <c r="NH22" s="1"/>
      <c r="NI22" s="1"/>
      <c r="NJ22" s="1"/>
      <c r="NK22" s="1"/>
      <c r="NL22" s="1"/>
      <c r="NM22" s="1"/>
      <c r="NN22" s="1"/>
      <c r="NO22" s="1"/>
      <c r="NP22" s="1"/>
      <c r="NQ22" s="1"/>
      <c r="NR22" s="1"/>
      <c r="NS22" s="1"/>
      <c r="NT22" s="1"/>
      <c r="NU22" s="1"/>
      <c r="NV22" s="1"/>
      <c r="NW22" s="1"/>
      <c r="NX22" s="1"/>
      <c r="NY22" s="1"/>
      <c r="NZ22" s="1"/>
      <c r="OA22" s="1"/>
      <c r="OB22" s="1"/>
      <c r="OC22" s="1"/>
      <c r="OD22" s="1"/>
      <c r="OE22" s="1"/>
      <c r="OF22" s="1"/>
      <c r="OG22" s="1"/>
      <c r="OH22" s="1"/>
      <c r="OI22" s="1"/>
      <c r="OJ22" s="1"/>
      <c r="OK22" s="1"/>
      <c r="OL22" s="2"/>
    </row>
    <row r="23" spans="1:402" ht="15" customHeight="1" x14ac:dyDescent="0.25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7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7"/>
      <c r="AR23" s="1"/>
      <c r="AS23" s="1"/>
      <c r="AT23" s="1"/>
      <c r="AU23" s="1"/>
      <c r="AV23" s="7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7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  <c r="NE23" s="1"/>
      <c r="NF23" s="1"/>
      <c r="NG23" s="1"/>
      <c r="NH23" s="1"/>
      <c r="NI23" s="1"/>
      <c r="NJ23" s="1"/>
      <c r="NK23" s="1"/>
      <c r="NL23" s="1"/>
      <c r="NM23" s="1"/>
      <c r="NN23" s="1"/>
      <c r="NO23" s="1"/>
      <c r="NP23" s="1"/>
      <c r="NQ23" s="1"/>
      <c r="NR23" s="1"/>
      <c r="NS23" s="1"/>
      <c r="NT23" s="1"/>
      <c r="NU23" s="1"/>
      <c r="NV23" s="1"/>
      <c r="NW23" s="1"/>
      <c r="NX23" s="1"/>
      <c r="NY23" s="1"/>
      <c r="NZ23" s="1"/>
      <c r="OA23" s="1"/>
      <c r="OB23" s="1"/>
      <c r="OC23" s="1"/>
      <c r="OD23" s="1"/>
      <c r="OE23" s="1"/>
      <c r="OF23" s="1"/>
      <c r="OG23" s="1"/>
      <c r="OH23" s="1"/>
      <c r="OI23" s="1"/>
      <c r="OJ23" s="1"/>
      <c r="OK23" s="1"/>
      <c r="OL23" s="2"/>
    </row>
    <row r="24" spans="1:402" ht="15" customHeight="1" x14ac:dyDescent="0.25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1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11"/>
      <c r="AQ24" s="1"/>
      <c r="AR24" s="1"/>
      <c r="AS24" s="1"/>
      <c r="AT24" s="1"/>
      <c r="AU24" s="1"/>
      <c r="AV24" s="1"/>
      <c r="AW24" s="11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1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  <c r="NE24" s="1"/>
      <c r="NF24" s="1"/>
      <c r="NG24" s="1"/>
      <c r="NH24" s="1"/>
      <c r="NI24" s="1"/>
      <c r="NJ24" s="1"/>
      <c r="NK24" s="1"/>
      <c r="NL24" s="1"/>
      <c r="NM24" s="1"/>
      <c r="NN24" s="1"/>
      <c r="NO24" s="1"/>
      <c r="NP24" s="1"/>
      <c r="NQ24" s="1"/>
      <c r="NR24" s="1"/>
      <c r="NS24" s="1"/>
      <c r="NT24" s="1"/>
      <c r="NU24" s="1"/>
      <c r="NV24" s="1"/>
      <c r="NW24" s="1"/>
      <c r="NX24" s="1"/>
      <c r="NY24" s="1"/>
      <c r="NZ24" s="1"/>
      <c r="OA24" s="1"/>
      <c r="OB24" s="1"/>
      <c r="OC24" s="1"/>
      <c r="OD24" s="1"/>
      <c r="OE24" s="1"/>
      <c r="OF24" s="1"/>
      <c r="OG24" s="1"/>
      <c r="OH24" s="1"/>
      <c r="OI24" s="1"/>
      <c r="OJ24" s="1"/>
      <c r="OK24" s="1"/>
      <c r="OL24" s="2"/>
    </row>
    <row r="25" spans="1:402" ht="15" customHeight="1" x14ac:dyDescent="0.25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7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7"/>
      <c r="AQ25" s="1"/>
      <c r="AR25" s="1"/>
      <c r="AS25" s="1"/>
      <c r="AT25" s="1"/>
      <c r="AU25" s="1"/>
      <c r="AV25" s="1"/>
      <c r="AW25" s="7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7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  <c r="NE25" s="1"/>
      <c r="NF25" s="1"/>
      <c r="NG25" s="1"/>
      <c r="NH25" s="1"/>
      <c r="NI25" s="1"/>
      <c r="NJ25" s="1"/>
      <c r="NK25" s="1"/>
      <c r="NL25" s="1"/>
      <c r="NM25" s="1"/>
      <c r="NN25" s="1"/>
      <c r="NO25" s="1"/>
      <c r="NP25" s="1"/>
      <c r="NQ25" s="1"/>
      <c r="NR25" s="1"/>
      <c r="NS25" s="1"/>
      <c r="NT25" s="1"/>
      <c r="NU25" s="1"/>
      <c r="NV25" s="1"/>
      <c r="NW25" s="1"/>
      <c r="NX25" s="1"/>
      <c r="NY25" s="1"/>
      <c r="NZ25" s="1"/>
      <c r="OA25" s="1"/>
      <c r="OB25" s="1"/>
      <c r="OC25" s="1"/>
      <c r="OD25" s="1"/>
      <c r="OE25" s="1"/>
      <c r="OF25" s="1"/>
      <c r="OG25" s="1"/>
      <c r="OH25" s="1"/>
      <c r="OI25" s="1"/>
      <c r="OJ25" s="1"/>
      <c r="OK25" s="1"/>
      <c r="OL25" s="2"/>
    </row>
    <row r="26" spans="1:402" ht="15" customHeight="1" x14ac:dyDescent="0.25">
      <c r="A26" s="2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1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11"/>
      <c r="AP26" s="1"/>
      <c r="AQ26" s="1"/>
      <c r="AR26" s="1"/>
      <c r="AS26" s="1"/>
      <c r="AT26" s="1"/>
      <c r="AU26" s="1"/>
      <c r="AV26" s="1"/>
      <c r="AW26" s="1"/>
      <c r="AX26" s="11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1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  <c r="NE26" s="1"/>
      <c r="NF26" s="1"/>
      <c r="NG26" s="1"/>
      <c r="NH26" s="1"/>
      <c r="NI26" s="1"/>
      <c r="NJ26" s="1"/>
      <c r="NK26" s="1"/>
      <c r="NL26" s="1"/>
      <c r="NM26" s="1"/>
      <c r="NN26" s="1"/>
      <c r="NO26" s="1"/>
      <c r="NP26" s="1"/>
      <c r="NQ26" s="1"/>
      <c r="NR26" s="1"/>
      <c r="NS26" s="1"/>
      <c r="NT26" s="1"/>
      <c r="NU26" s="1"/>
      <c r="NV26" s="1"/>
      <c r="NW26" s="1"/>
      <c r="NX26" s="1"/>
      <c r="NY26" s="1"/>
      <c r="NZ26" s="1"/>
      <c r="OA26" s="1"/>
      <c r="OB26" s="1"/>
      <c r="OC26" s="1"/>
      <c r="OD26" s="1"/>
      <c r="OE26" s="1"/>
      <c r="OF26" s="1"/>
      <c r="OG26" s="1"/>
      <c r="OH26" s="1"/>
      <c r="OI26" s="1"/>
      <c r="OJ26" s="1"/>
      <c r="OK26" s="1"/>
      <c r="OL26" s="2"/>
    </row>
    <row r="27" spans="1:402" ht="15" customHeight="1" x14ac:dyDescent="0.25">
      <c r="A27" s="2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1"/>
      <c r="AF27" s="29"/>
      <c r="AG27" s="29"/>
      <c r="AH27" s="29"/>
      <c r="AI27" s="29"/>
      <c r="AJ27" s="29"/>
      <c r="AK27" s="29"/>
      <c r="AL27" s="29"/>
      <c r="AM27" s="29"/>
      <c r="AN27" s="1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1"/>
      <c r="AZ27" s="29"/>
      <c r="BA27" s="29"/>
      <c r="BB27" s="29"/>
      <c r="BC27" s="29"/>
      <c r="BD27" s="29"/>
      <c r="BE27" s="29"/>
      <c r="BF27" s="29"/>
      <c r="BG27" s="29"/>
      <c r="BH27" s="1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  <c r="NE27" s="1"/>
      <c r="NF27" s="1"/>
      <c r="NG27" s="1"/>
      <c r="NH27" s="1"/>
      <c r="NI27" s="1"/>
      <c r="NJ27" s="1"/>
      <c r="NK27" s="1"/>
      <c r="NL27" s="1"/>
      <c r="NM27" s="1"/>
      <c r="NN27" s="1"/>
      <c r="NO27" s="1"/>
      <c r="NP27" s="1"/>
      <c r="NQ27" s="1"/>
      <c r="NR27" s="1"/>
      <c r="NS27" s="1"/>
      <c r="NT27" s="1"/>
      <c r="NU27" s="1"/>
      <c r="NV27" s="1"/>
      <c r="NW27" s="1"/>
      <c r="NX27" s="1"/>
      <c r="NY27" s="1"/>
      <c r="NZ27" s="1"/>
      <c r="OA27" s="1"/>
      <c r="OB27" s="1"/>
      <c r="OC27" s="1"/>
      <c r="OD27" s="1"/>
      <c r="OE27" s="1"/>
      <c r="OF27" s="1"/>
      <c r="OG27" s="1"/>
      <c r="OH27" s="1"/>
      <c r="OI27" s="1"/>
      <c r="OJ27" s="1"/>
      <c r="OK27" s="1"/>
      <c r="OL27" s="2"/>
    </row>
    <row r="28" spans="1:402" ht="15" customHeight="1" x14ac:dyDescent="0.25">
      <c r="A28" s="2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3"/>
      <c r="AG28" s="11"/>
      <c r="AH28" s="29"/>
      <c r="AI28" s="29"/>
      <c r="AJ28" s="29"/>
      <c r="AK28" s="29"/>
      <c r="AL28" s="11"/>
      <c r="AM28" s="3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3"/>
      <c r="BA28" s="11"/>
      <c r="BB28" s="29"/>
      <c r="BC28" s="29"/>
      <c r="BD28" s="29"/>
      <c r="BE28" s="29"/>
      <c r="BF28" s="11"/>
      <c r="BG28" s="3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  <c r="NE28" s="1"/>
      <c r="NF28" s="1"/>
      <c r="NG28" s="1"/>
      <c r="NH28" s="1"/>
      <c r="NI28" s="1"/>
      <c r="NJ28" s="1"/>
      <c r="NK28" s="1"/>
      <c r="NL28" s="1"/>
      <c r="NM28" s="1"/>
      <c r="NN28" s="1"/>
      <c r="NO28" s="1"/>
      <c r="NP28" s="1"/>
      <c r="NQ28" s="1"/>
      <c r="NR28" s="1"/>
      <c r="NS28" s="1"/>
      <c r="NT28" s="1"/>
      <c r="NU28" s="1"/>
      <c r="NV28" s="1"/>
      <c r="NW28" s="1"/>
      <c r="NX28" s="1"/>
      <c r="NY28" s="1"/>
      <c r="NZ28" s="1"/>
      <c r="OA28" s="1"/>
      <c r="OB28" s="1"/>
      <c r="OC28" s="1"/>
      <c r="OD28" s="1"/>
      <c r="OE28" s="1"/>
      <c r="OF28" s="1"/>
      <c r="OG28" s="1"/>
      <c r="OH28" s="1"/>
      <c r="OI28" s="1"/>
      <c r="OJ28" s="1"/>
      <c r="OK28" s="1"/>
      <c r="OL28" s="2"/>
    </row>
    <row r="29" spans="1:402" ht="15" customHeight="1" x14ac:dyDescent="0.25">
      <c r="A29" s="2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3"/>
      <c r="AI29" s="3"/>
      <c r="AJ29" s="3"/>
      <c r="AK29" s="3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3"/>
      <c r="BC29" s="3"/>
      <c r="BD29" s="3"/>
      <c r="BE29" s="3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  <c r="NE29" s="1"/>
      <c r="NF29" s="1"/>
      <c r="NG29" s="1"/>
      <c r="NH29" s="1"/>
      <c r="NI29" s="1"/>
      <c r="NJ29" s="1"/>
      <c r="NK29" s="1"/>
      <c r="NL29" s="1"/>
      <c r="NM29" s="1"/>
      <c r="NN29" s="1"/>
      <c r="NO29" s="1"/>
      <c r="NP29" s="1"/>
      <c r="NQ29" s="1"/>
      <c r="NR29" s="1"/>
      <c r="NS29" s="1"/>
      <c r="NT29" s="1"/>
      <c r="NU29" s="1"/>
      <c r="NV29" s="1"/>
      <c r="NW29" s="1"/>
      <c r="NX29" s="1"/>
      <c r="NY29" s="1"/>
      <c r="NZ29" s="1"/>
      <c r="OA29" s="1"/>
      <c r="OB29" s="1"/>
      <c r="OC29" s="1"/>
      <c r="OD29" s="1"/>
      <c r="OE29" s="1"/>
      <c r="OF29" s="1"/>
      <c r="OG29" s="1"/>
      <c r="OH29" s="1"/>
      <c r="OI29" s="1"/>
      <c r="OJ29" s="1"/>
      <c r="OK29" s="1"/>
      <c r="OL29" s="2"/>
    </row>
    <row r="30" spans="1:402" ht="15" customHeight="1" x14ac:dyDescent="0.25">
      <c r="A30" s="2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  <c r="NE30" s="1"/>
      <c r="NF30" s="1"/>
      <c r="NG30" s="1"/>
      <c r="NH30" s="1"/>
      <c r="NI30" s="1"/>
      <c r="NJ30" s="1"/>
      <c r="NK30" s="1"/>
      <c r="NL30" s="1"/>
      <c r="NM30" s="1"/>
      <c r="NN30" s="1"/>
      <c r="NO30" s="1"/>
      <c r="NP30" s="1"/>
      <c r="NQ30" s="1"/>
      <c r="NR30" s="1"/>
      <c r="NS30" s="1"/>
      <c r="NT30" s="1"/>
      <c r="NU30" s="1"/>
      <c r="NV30" s="1"/>
      <c r="NW30" s="1"/>
      <c r="NX30" s="1"/>
      <c r="NY30" s="1"/>
      <c r="NZ30" s="1"/>
      <c r="OA30" s="1"/>
      <c r="OB30" s="1"/>
      <c r="OC30" s="1"/>
      <c r="OD30" s="1"/>
      <c r="OE30" s="1"/>
      <c r="OF30" s="1"/>
      <c r="OG30" s="1"/>
      <c r="OH30" s="1"/>
      <c r="OI30" s="1"/>
      <c r="OJ30" s="1"/>
      <c r="OK30" s="1"/>
      <c r="OL30" s="2"/>
    </row>
    <row r="31" spans="1:402" ht="15" customHeight="1" x14ac:dyDescent="0.25">
      <c r="A31" s="2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  <c r="NE31" s="1"/>
      <c r="NF31" s="1"/>
      <c r="NG31" s="1"/>
      <c r="NH31" s="1"/>
      <c r="NI31" s="1"/>
      <c r="NJ31" s="1"/>
      <c r="NK31" s="1"/>
      <c r="NL31" s="1"/>
      <c r="NM31" s="1"/>
      <c r="NN31" s="1"/>
      <c r="NO31" s="1"/>
      <c r="NP31" s="1"/>
      <c r="NQ31" s="1"/>
      <c r="NR31" s="1"/>
      <c r="NS31" s="1"/>
      <c r="NT31" s="1"/>
      <c r="NU31" s="1"/>
      <c r="NV31" s="1"/>
      <c r="NW31" s="1"/>
      <c r="NX31" s="1"/>
      <c r="NY31" s="1"/>
      <c r="NZ31" s="1"/>
      <c r="OA31" s="1"/>
      <c r="OB31" s="1"/>
      <c r="OC31" s="1"/>
      <c r="OD31" s="1"/>
      <c r="OE31" s="1"/>
      <c r="OF31" s="1"/>
      <c r="OG31" s="1"/>
      <c r="OH31" s="1"/>
      <c r="OI31" s="1"/>
      <c r="OJ31" s="1"/>
      <c r="OK31" s="1"/>
      <c r="OL31" s="2"/>
    </row>
    <row r="32" spans="1:402" ht="15" customHeight="1" x14ac:dyDescent="0.25">
      <c r="A32" s="2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  <c r="NE32" s="1"/>
      <c r="NF32" s="1"/>
      <c r="NG32" s="1"/>
      <c r="NH32" s="1"/>
      <c r="NI32" s="1"/>
      <c r="NJ32" s="1"/>
      <c r="NK32" s="1"/>
      <c r="NL32" s="1"/>
      <c r="NM32" s="1"/>
      <c r="NN32" s="1"/>
      <c r="NO32" s="1"/>
      <c r="NP32" s="1"/>
      <c r="NQ32" s="1"/>
      <c r="NR32" s="1"/>
      <c r="NS32" s="1"/>
      <c r="NT32" s="1"/>
      <c r="NU32" s="1"/>
      <c r="NV32" s="1"/>
      <c r="NW32" s="1"/>
      <c r="NX32" s="1"/>
      <c r="NY32" s="1"/>
      <c r="NZ32" s="1"/>
      <c r="OA32" s="1"/>
      <c r="OB32" s="1"/>
      <c r="OC32" s="1"/>
      <c r="OD32" s="1"/>
      <c r="OE32" s="1"/>
      <c r="OF32" s="1"/>
      <c r="OG32" s="1"/>
      <c r="OH32" s="1"/>
      <c r="OI32" s="1"/>
      <c r="OJ32" s="1"/>
      <c r="OK32" s="1"/>
      <c r="OL32" s="2"/>
    </row>
    <row r="33" spans="1:402" ht="15" customHeight="1" x14ac:dyDescent="0.25">
      <c r="A33" s="2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  <c r="NE33" s="1"/>
      <c r="NF33" s="1"/>
      <c r="NG33" s="1"/>
      <c r="NH33" s="1"/>
      <c r="NI33" s="1"/>
      <c r="NJ33" s="1"/>
      <c r="NK33" s="1"/>
      <c r="NL33" s="1"/>
      <c r="NM33" s="1"/>
      <c r="NN33" s="1"/>
      <c r="NO33" s="1"/>
      <c r="NP33" s="1"/>
      <c r="NQ33" s="1"/>
      <c r="NR33" s="1"/>
      <c r="NS33" s="1"/>
      <c r="NT33" s="1"/>
      <c r="NU33" s="1"/>
      <c r="NV33" s="1"/>
      <c r="NW33" s="1"/>
      <c r="NX33" s="1"/>
      <c r="NY33" s="1"/>
      <c r="NZ33" s="1"/>
      <c r="OA33" s="1"/>
      <c r="OB33" s="1"/>
      <c r="OC33" s="1"/>
      <c r="OD33" s="1"/>
      <c r="OE33" s="1"/>
      <c r="OF33" s="1"/>
      <c r="OG33" s="1"/>
      <c r="OH33" s="1"/>
      <c r="OI33" s="1"/>
      <c r="OJ33" s="1"/>
      <c r="OK33" s="1"/>
      <c r="OL33" s="2"/>
    </row>
    <row r="34" spans="1:402" ht="15" customHeight="1" x14ac:dyDescent="0.25">
      <c r="A34" s="2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3"/>
      <c r="AI34" s="3"/>
      <c r="AJ34" s="3"/>
      <c r="AK34" s="3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3"/>
      <c r="BC34" s="3"/>
      <c r="BD34" s="3"/>
      <c r="BE34" s="3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  <c r="NE34" s="1"/>
      <c r="NF34" s="1"/>
      <c r="NG34" s="1"/>
      <c r="NH34" s="1"/>
      <c r="NI34" s="1"/>
      <c r="NJ34" s="1"/>
      <c r="NK34" s="1"/>
      <c r="NL34" s="1"/>
      <c r="NM34" s="1"/>
      <c r="NN34" s="1"/>
      <c r="NO34" s="1"/>
      <c r="NP34" s="1"/>
      <c r="NQ34" s="1"/>
      <c r="NR34" s="1"/>
      <c r="NS34" s="1"/>
      <c r="NT34" s="1"/>
      <c r="NU34" s="1"/>
      <c r="NV34" s="1"/>
      <c r="NW34" s="1"/>
      <c r="NX34" s="1"/>
      <c r="NY34" s="1"/>
      <c r="NZ34" s="1"/>
      <c r="OA34" s="1"/>
      <c r="OB34" s="1"/>
      <c r="OC34" s="1"/>
      <c r="OD34" s="1"/>
      <c r="OE34" s="1"/>
      <c r="OF34" s="1"/>
      <c r="OG34" s="1"/>
      <c r="OH34" s="1"/>
      <c r="OI34" s="1"/>
      <c r="OJ34" s="1"/>
      <c r="OK34" s="1"/>
      <c r="OL34" s="2"/>
    </row>
    <row r="35" spans="1:402" ht="15" customHeight="1" x14ac:dyDescent="0.25">
      <c r="A35" s="2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3"/>
      <c r="AG35" s="11"/>
      <c r="AH35" s="29"/>
      <c r="AI35" s="29"/>
      <c r="AJ35" s="29"/>
      <c r="AK35" s="29"/>
      <c r="AL35" s="11"/>
      <c r="AM35" s="3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3"/>
      <c r="BA35" s="11"/>
      <c r="BB35" s="29"/>
      <c r="BC35" s="29"/>
      <c r="BD35" s="29"/>
      <c r="BE35" s="29"/>
      <c r="BF35" s="11"/>
      <c r="BG35" s="3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  <c r="NE35" s="1"/>
      <c r="NF35" s="1"/>
      <c r="NG35" s="1"/>
      <c r="NH35" s="1"/>
      <c r="NI35" s="1"/>
      <c r="NJ35" s="1"/>
      <c r="NK35" s="1"/>
      <c r="NL35" s="1"/>
      <c r="NM35" s="1"/>
      <c r="NN35" s="1"/>
      <c r="NO35" s="1"/>
      <c r="NP35" s="1"/>
      <c r="NQ35" s="1"/>
      <c r="NR35" s="1"/>
      <c r="NS35" s="1"/>
      <c r="NT35" s="1"/>
      <c r="NU35" s="1"/>
      <c r="NV35" s="1"/>
      <c r="NW35" s="1"/>
      <c r="NX35" s="1"/>
      <c r="NY35" s="1"/>
      <c r="NZ35" s="1"/>
      <c r="OA35" s="1"/>
      <c r="OB35" s="1"/>
      <c r="OC35" s="1"/>
      <c r="OD35" s="1"/>
      <c r="OE35" s="1"/>
      <c r="OF35" s="1"/>
      <c r="OG35" s="1"/>
      <c r="OH35" s="1"/>
      <c r="OI35" s="1"/>
      <c r="OJ35" s="1"/>
      <c r="OK35" s="1"/>
      <c r="OL35" s="2"/>
    </row>
    <row r="36" spans="1:402" ht="15" customHeight="1" x14ac:dyDescent="0.25">
      <c r="A36" s="2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1"/>
      <c r="AF36" s="29"/>
      <c r="AG36" s="29"/>
      <c r="AH36" s="29"/>
      <c r="AI36" s="29"/>
      <c r="AJ36" s="29"/>
      <c r="AK36" s="29"/>
      <c r="AL36" s="29"/>
      <c r="AM36" s="29"/>
      <c r="AN36" s="1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1"/>
      <c r="AZ36" s="29"/>
      <c r="BA36" s="29"/>
      <c r="BB36" s="29"/>
      <c r="BC36" s="29"/>
      <c r="BD36" s="29"/>
      <c r="BE36" s="29"/>
      <c r="BF36" s="29"/>
      <c r="BG36" s="29"/>
      <c r="BH36" s="1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  <c r="NE36" s="1"/>
      <c r="NF36" s="1"/>
      <c r="NG36" s="1"/>
      <c r="NH36" s="1"/>
      <c r="NI36" s="1"/>
      <c r="NJ36" s="1"/>
      <c r="NK36" s="1"/>
      <c r="NL36" s="1"/>
      <c r="NM36" s="1"/>
      <c r="NN36" s="1"/>
      <c r="NO36" s="1"/>
      <c r="NP36" s="1"/>
      <c r="NQ36" s="1"/>
      <c r="NR36" s="1"/>
      <c r="NS36" s="1"/>
      <c r="NT36" s="1"/>
      <c r="NU36" s="1"/>
      <c r="NV36" s="1"/>
      <c r="NW36" s="1"/>
      <c r="NX36" s="1"/>
      <c r="NY36" s="1"/>
      <c r="NZ36" s="1"/>
      <c r="OA36" s="1"/>
      <c r="OB36" s="1"/>
      <c r="OC36" s="1"/>
      <c r="OD36" s="1"/>
      <c r="OE36" s="1"/>
      <c r="OF36" s="1"/>
      <c r="OG36" s="1"/>
      <c r="OH36" s="1"/>
      <c r="OI36" s="1"/>
      <c r="OJ36" s="1"/>
      <c r="OK36" s="1"/>
      <c r="OL36" s="2"/>
    </row>
    <row r="37" spans="1:402" ht="15" customHeight="1" x14ac:dyDescent="0.25">
      <c r="A37" s="2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1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11"/>
      <c r="AP37" s="1"/>
      <c r="AQ37" s="1"/>
      <c r="AR37" s="1"/>
      <c r="AS37" s="1"/>
      <c r="AT37" s="1"/>
      <c r="AU37" s="1"/>
      <c r="AV37" s="1"/>
      <c r="AW37" s="1"/>
      <c r="AX37" s="11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1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  <c r="NE37" s="1"/>
      <c r="NF37" s="1"/>
      <c r="NG37" s="1"/>
      <c r="NH37" s="1"/>
      <c r="NI37" s="1"/>
      <c r="NJ37" s="1"/>
      <c r="NK37" s="1"/>
      <c r="NL37" s="1"/>
      <c r="NM37" s="1"/>
      <c r="NN37" s="1"/>
      <c r="NO37" s="1"/>
      <c r="NP37" s="1"/>
      <c r="NQ37" s="1"/>
      <c r="NR37" s="1"/>
      <c r="NS37" s="1"/>
      <c r="NT37" s="1"/>
      <c r="NU37" s="1"/>
      <c r="NV37" s="1"/>
      <c r="NW37" s="1"/>
      <c r="NX37" s="1"/>
      <c r="NY37" s="1"/>
      <c r="NZ37" s="1"/>
      <c r="OA37" s="1"/>
      <c r="OB37" s="1"/>
      <c r="OC37" s="1"/>
      <c r="OD37" s="1"/>
      <c r="OE37" s="1"/>
      <c r="OF37" s="1"/>
      <c r="OG37" s="1"/>
      <c r="OH37" s="1"/>
      <c r="OI37" s="1"/>
      <c r="OJ37" s="1"/>
      <c r="OK37" s="1"/>
      <c r="OL37" s="2"/>
    </row>
    <row r="38" spans="1:402" ht="15" customHeight="1" x14ac:dyDescent="0.25">
      <c r="A38" s="2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7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7"/>
      <c r="AQ38" s="1"/>
      <c r="AR38" s="1"/>
      <c r="AS38" s="1"/>
      <c r="AT38" s="1"/>
      <c r="AU38" s="1"/>
      <c r="AV38" s="1"/>
      <c r="AW38" s="7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7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  <c r="NE38" s="1"/>
      <c r="NF38" s="1"/>
      <c r="NG38" s="1"/>
      <c r="NH38" s="1"/>
      <c r="NI38" s="1"/>
      <c r="NJ38" s="1"/>
      <c r="NK38" s="1"/>
      <c r="NL38" s="1"/>
      <c r="NM38" s="1"/>
      <c r="NN38" s="1"/>
      <c r="NO38" s="1"/>
      <c r="NP38" s="1"/>
      <c r="NQ38" s="1"/>
      <c r="NR38" s="1"/>
      <c r="NS38" s="1"/>
      <c r="NT38" s="1"/>
      <c r="NU38" s="1"/>
      <c r="NV38" s="1"/>
      <c r="NW38" s="1"/>
      <c r="NX38" s="1"/>
      <c r="NY38" s="1"/>
      <c r="NZ38" s="1"/>
      <c r="OA38" s="1"/>
      <c r="OB38" s="1"/>
      <c r="OC38" s="1"/>
      <c r="OD38" s="1"/>
      <c r="OE38" s="1"/>
      <c r="OF38" s="1"/>
      <c r="OG38" s="1"/>
      <c r="OH38" s="1"/>
      <c r="OI38" s="1"/>
      <c r="OJ38" s="1"/>
      <c r="OK38" s="1"/>
      <c r="OL38" s="2"/>
    </row>
    <row r="39" spans="1:402" ht="15" customHeight="1" x14ac:dyDescent="0.25">
      <c r="A39" s="2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1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11"/>
      <c r="AQ39" s="1"/>
      <c r="AR39" s="1"/>
      <c r="AS39" s="1"/>
      <c r="AT39" s="1"/>
      <c r="AU39" s="1"/>
      <c r="AV39" s="1"/>
      <c r="AW39" s="11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1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  <c r="NE39" s="1"/>
      <c r="NF39" s="1"/>
      <c r="NG39" s="1"/>
      <c r="NH39" s="1"/>
      <c r="NI39" s="1"/>
      <c r="NJ39" s="1"/>
      <c r="NK39" s="1"/>
      <c r="NL39" s="1"/>
      <c r="NM39" s="1"/>
      <c r="NN39" s="1"/>
      <c r="NO39" s="1"/>
      <c r="NP39" s="1"/>
      <c r="NQ39" s="1"/>
      <c r="NR39" s="1"/>
      <c r="NS39" s="1"/>
      <c r="NT39" s="1"/>
      <c r="NU39" s="1"/>
      <c r="NV39" s="1"/>
      <c r="NW39" s="1"/>
      <c r="NX39" s="1"/>
      <c r="NY39" s="1"/>
      <c r="NZ39" s="1"/>
      <c r="OA39" s="1"/>
      <c r="OB39" s="1"/>
      <c r="OC39" s="1"/>
      <c r="OD39" s="1"/>
      <c r="OE39" s="1"/>
      <c r="OF39" s="1"/>
      <c r="OG39" s="1"/>
      <c r="OH39" s="1"/>
      <c r="OI39" s="1"/>
      <c r="OJ39" s="1"/>
      <c r="OK39" s="1"/>
      <c r="OL39" s="2"/>
    </row>
    <row r="40" spans="1:402" ht="15" customHeight="1" x14ac:dyDescent="0.25">
      <c r="A40" s="2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7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7"/>
      <c r="AR40" s="1"/>
      <c r="AS40" s="1"/>
      <c r="AT40" s="1"/>
      <c r="AU40" s="1"/>
      <c r="AV40" s="7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7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  <c r="NE40" s="1"/>
      <c r="NF40" s="1"/>
      <c r="NG40" s="1"/>
      <c r="NH40" s="1"/>
      <c r="NI40" s="1"/>
      <c r="NJ40" s="1"/>
      <c r="NK40" s="1"/>
      <c r="NL40" s="1"/>
      <c r="NM40" s="1"/>
      <c r="NN40" s="1"/>
      <c r="NO40" s="1"/>
      <c r="NP40" s="1"/>
      <c r="NQ40" s="1"/>
      <c r="NR40" s="1"/>
      <c r="NS40" s="1"/>
      <c r="NT40" s="1"/>
      <c r="NU40" s="1"/>
      <c r="NV40" s="1"/>
      <c r="NW40" s="1"/>
      <c r="NX40" s="1"/>
      <c r="NY40" s="1"/>
      <c r="NZ40" s="1"/>
      <c r="OA40" s="1"/>
      <c r="OB40" s="1"/>
      <c r="OC40" s="1"/>
      <c r="OD40" s="1"/>
      <c r="OE40" s="1"/>
      <c r="OF40" s="1"/>
      <c r="OG40" s="1"/>
      <c r="OH40" s="1"/>
      <c r="OI40" s="1"/>
      <c r="OJ40" s="1"/>
      <c r="OK40" s="1"/>
      <c r="OL40" s="2"/>
    </row>
    <row r="41" spans="1:402" ht="15" customHeight="1" x14ac:dyDescent="0.25">
      <c r="A41" s="2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11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11"/>
      <c r="AR41" s="3"/>
      <c r="AS41" s="3"/>
      <c r="AT41" s="3"/>
      <c r="AU41" s="3"/>
      <c r="AV41" s="11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11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  <c r="IV41" s="3"/>
      <c r="IW41" s="3"/>
      <c r="IX41" s="3"/>
      <c r="IY41" s="3"/>
      <c r="IZ41" s="3"/>
      <c r="JA41" s="3"/>
      <c r="JB41" s="3"/>
      <c r="JC41" s="3"/>
      <c r="JD41" s="3"/>
      <c r="JE41" s="3"/>
      <c r="JF41" s="3"/>
      <c r="JG41" s="3"/>
      <c r="JH41" s="3"/>
      <c r="JI41" s="3"/>
      <c r="JJ41" s="3"/>
      <c r="JK41" s="3"/>
      <c r="JL41" s="3"/>
      <c r="JM41" s="3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3"/>
      <c r="MC41" s="3"/>
      <c r="MD41" s="3"/>
      <c r="ME41" s="3"/>
      <c r="MF41" s="3"/>
      <c r="MG41" s="3"/>
      <c r="MH41" s="3"/>
      <c r="MI41" s="3"/>
      <c r="MJ41" s="3"/>
      <c r="MK41" s="3"/>
      <c r="ML41" s="3"/>
      <c r="MM41" s="3"/>
      <c r="MN41" s="3"/>
      <c r="MO41" s="3"/>
      <c r="MP41" s="3"/>
      <c r="MQ41" s="3"/>
      <c r="MR41" s="3"/>
      <c r="MS41" s="3"/>
      <c r="MT41" s="3"/>
      <c r="MU41" s="3"/>
      <c r="MV41" s="3"/>
      <c r="MW41" s="3"/>
      <c r="MX41" s="3"/>
      <c r="MY41" s="3"/>
      <c r="MZ41" s="3"/>
      <c r="NA41" s="3"/>
      <c r="NB41" s="3"/>
      <c r="NC41" s="3"/>
      <c r="ND41" s="3"/>
      <c r="NE41" s="3"/>
      <c r="NF41" s="3"/>
      <c r="NG41" s="3"/>
      <c r="NH41" s="3"/>
      <c r="NI41" s="3"/>
      <c r="NJ41" s="3"/>
      <c r="NK41" s="3"/>
      <c r="NL41" s="3"/>
      <c r="NM41" s="3"/>
      <c r="NN41" s="3"/>
      <c r="NO41" s="3"/>
      <c r="NP41" s="3"/>
      <c r="NQ41" s="3"/>
      <c r="NR41" s="3"/>
      <c r="NS41" s="3"/>
      <c r="NT41" s="3"/>
      <c r="NU41" s="3"/>
      <c r="NV41" s="3"/>
      <c r="NW41" s="3"/>
      <c r="NX41" s="3"/>
      <c r="NY41" s="3"/>
      <c r="NZ41" s="3"/>
      <c r="OA41" s="3"/>
      <c r="OB41" s="3"/>
      <c r="OC41" s="3"/>
      <c r="OD41" s="3"/>
      <c r="OE41" s="3"/>
      <c r="OF41" s="3"/>
      <c r="OG41" s="3"/>
      <c r="OH41" s="3"/>
      <c r="OI41" s="3"/>
      <c r="OJ41" s="3"/>
      <c r="OK41" s="3"/>
      <c r="OL41" s="2"/>
    </row>
    <row r="42" spans="1:402" ht="15" customHeight="1" x14ac:dyDescent="0.25">
      <c r="A42" s="2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  <c r="AV42" s="28"/>
      <c r="AW42" s="28"/>
      <c r="AX42" s="28"/>
      <c r="AY42" s="28"/>
      <c r="AZ42" s="28"/>
      <c r="BA42" s="28"/>
      <c r="BB42" s="28"/>
      <c r="BC42" s="28"/>
      <c r="BD42" s="28"/>
      <c r="BE42" s="28"/>
      <c r="BF42" s="28"/>
      <c r="BG42" s="28"/>
      <c r="BH42" s="28"/>
      <c r="BI42" s="28"/>
      <c r="BJ42" s="28"/>
      <c r="BK42" s="28"/>
      <c r="BL42" s="28"/>
      <c r="BM42" s="28"/>
      <c r="BN42" s="28"/>
      <c r="BO42" s="28"/>
      <c r="BP42" s="28"/>
      <c r="BQ42" s="28"/>
      <c r="BR42" s="28"/>
      <c r="BS42" s="28"/>
      <c r="BT42" s="28"/>
      <c r="BU42" s="28"/>
      <c r="BV42" s="28"/>
      <c r="BW42" s="28"/>
      <c r="BX42" s="28"/>
      <c r="BY42" s="28"/>
      <c r="BZ42" s="28"/>
      <c r="CA42" s="28"/>
      <c r="CB42" s="28"/>
      <c r="CC42" s="28"/>
      <c r="CD42" s="28"/>
      <c r="CE42" s="28"/>
      <c r="CF42" s="28"/>
      <c r="CG42" s="28"/>
      <c r="CH42" s="28"/>
      <c r="CI42" s="28"/>
      <c r="CJ42" s="28"/>
      <c r="CK42" s="28"/>
      <c r="CL42" s="28"/>
      <c r="CM42" s="28"/>
      <c r="CN42" s="28"/>
      <c r="CO42" s="28"/>
      <c r="CP42" s="28"/>
      <c r="CQ42" s="28"/>
      <c r="CR42" s="28"/>
      <c r="CS42" s="28"/>
      <c r="CT42" s="28"/>
      <c r="CU42" s="28"/>
      <c r="CV42" s="28"/>
      <c r="CW42" s="28"/>
      <c r="CX42" s="28"/>
      <c r="CY42" s="28"/>
      <c r="CZ42" s="28"/>
      <c r="DA42" s="28"/>
      <c r="DB42" s="28"/>
      <c r="DC42" s="28"/>
      <c r="DD42" s="28"/>
      <c r="DE42" s="28"/>
      <c r="DF42" s="28"/>
      <c r="DG42" s="28"/>
      <c r="DH42" s="28"/>
      <c r="DI42" s="28"/>
      <c r="DJ42" s="28"/>
      <c r="DK42" s="28"/>
      <c r="DL42" s="28"/>
      <c r="DM42" s="28"/>
      <c r="DN42" s="28"/>
      <c r="DO42" s="28"/>
      <c r="DP42" s="28"/>
      <c r="DQ42" s="28"/>
      <c r="DR42" s="28"/>
      <c r="DS42" s="28"/>
      <c r="DT42" s="28"/>
      <c r="DU42" s="28"/>
      <c r="DV42" s="28"/>
      <c r="DW42" s="28"/>
      <c r="DX42" s="28"/>
      <c r="DY42" s="28"/>
      <c r="DZ42" s="28"/>
      <c r="EA42" s="28"/>
      <c r="EB42" s="28"/>
      <c r="EC42" s="28"/>
      <c r="ED42" s="28"/>
      <c r="EE42" s="28"/>
      <c r="EF42" s="28"/>
      <c r="EG42" s="28"/>
      <c r="EH42" s="28"/>
      <c r="EI42" s="28"/>
      <c r="EJ42" s="28"/>
      <c r="EK42" s="28"/>
      <c r="EL42" s="28"/>
      <c r="EM42" s="28"/>
      <c r="EN42" s="28"/>
      <c r="EO42" s="28"/>
      <c r="EP42" s="28"/>
      <c r="EQ42" s="28"/>
      <c r="ER42" s="28"/>
      <c r="ES42" s="28"/>
      <c r="ET42" s="28"/>
      <c r="EU42" s="28"/>
      <c r="EV42" s="28"/>
      <c r="EW42" s="28"/>
      <c r="EX42" s="28"/>
      <c r="EY42" s="28"/>
      <c r="EZ42" s="28"/>
      <c r="FA42" s="28"/>
      <c r="FB42" s="28"/>
      <c r="FC42" s="28"/>
      <c r="FD42" s="28"/>
      <c r="FE42" s="28"/>
      <c r="FF42" s="28"/>
      <c r="FG42" s="28"/>
      <c r="FH42" s="28"/>
      <c r="FI42" s="28"/>
      <c r="FJ42" s="28"/>
      <c r="FK42" s="28"/>
      <c r="FL42" s="28"/>
      <c r="FM42" s="28"/>
      <c r="FN42" s="28"/>
      <c r="FO42" s="28"/>
      <c r="FP42" s="28"/>
      <c r="FQ42" s="28"/>
      <c r="FR42" s="28"/>
      <c r="FS42" s="28"/>
      <c r="FT42" s="28"/>
      <c r="FU42" s="28"/>
      <c r="FV42" s="28"/>
      <c r="FW42" s="28"/>
      <c r="FX42" s="28"/>
      <c r="FY42" s="28"/>
      <c r="FZ42" s="28"/>
      <c r="GA42" s="28"/>
      <c r="GB42" s="28"/>
      <c r="GC42" s="28"/>
      <c r="GD42" s="28"/>
      <c r="GE42" s="28"/>
      <c r="GF42" s="28"/>
      <c r="GG42" s="28"/>
      <c r="GH42" s="28"/>
      <c r="GI42" s="28"/>
      <c r="GJ42" s="28"/>
      <c r="GK42" s="28"/>
      <c r="GL42" s="28"/>
      <c r="GM42" s="28"/>
      <c r="GN42" s="28"/>
      <c r="GO42" s="28"/>
      <c r="GP42" s="28"/>
      <c r="GQ42" s="28"/>
      <c r="GR42" s="28"/>
      <c r="GS42" s="28"/>
      <c r="GT42" s="28"/>
      <c r="GU42" s="28"/>
      <c r="GV42" s="28"/>
      <c r="GW42" s="28"/>
      <c r="GX42" s="28"/>
      <c r="GY42" s="28"/>
      <c r="GZ42" s="28"/>
      <c r="HA42" s="28"/>
      <c r="HB42" s="28"/>
      <c r="HC42" s="28"/>
      <c r="HD42" s="28"/>
      <c r="HE42" s="28"/>
      <c r="HF42" s="28"/>
      <c r="HG42" s="28"/>
      <c r="HH42" s="28"/>
      <c r="HI42" s="28"/>
      <c r="HJ42" s="28"/>
      <c r="HK42" s="28"/>
      <c r="HL42" s="28"/>
      <c r="HM42" s="28"/>
      <c r="HN42" s="28"/>
      <c r="HO42" s="28"/>
      <c r="HP42" s="28"/>
      <c r="HQ42" s="28"/>
      <c r="HR42" s="28"/>
      <c r="HS42" s="28"/>
      <c r="HT42" s="28"/>
      <c r="HU42" s="28"/>
      <c r="HV42" s="28"/>
      <c r="HW42" s="28"/>
      <c r="HX42" s="28"/>
      <c r="HY42" s="28"/>
      <c r="HZ42" s="28"/>
      <c r="IA42" s="28"/>
      <c r="IB42" s="28"/>
      <c r="IC42" s="28"/>
      <c r="ID42" s="28"/>
      <c r="IE42" s="28"/>
      <c r="IF42" s="28"/>
      <c r="IG42" s="28"/>
      <c r="IH42" s="28"/>
      <c r="II42" s="28"/>
      <c r="IJ42" s="28"/>
      <c r="IK42" s="28"/>
      <c r="IL42" s="28"/>
      <c r="IM42" s="28"/>
      <c r="IN42" s="28"/>
      <c r="IO42" s="28"/>
      <c r="IP42" s="28"/>
      <c r="IQ42" s="28"/>
      <c r="IR42" s="28"/>
      <c r="IS42" s="28"/>
      <c r="IT42" s="28"/>
      <c r="IU42" s="28"/>
      <c r="IV42" s="28"/>
      <c r="IW42" s="28"/>
      <c r="IX42" s="28"/>
      <c r="IY42" s="28"/>
      <c r="IZ42" s="28"/>
      <c r="JA42" s="28"/>
      <c r="JB42" s="28"/>
      <c r="JC42" s="28"/>
      <c r="JD42" s="28"/>
      <c r="JE42" s="28"/>
      <c r="JF42" s="28"/>
      <c r="JG42" s="28"/>
      <c r="JH42" s="28"/>
      <c r="JI42" s="28"/>
      <c r="JJ42" s="28"/>
      <c r="JK42" s="28"/>
      <c r="JL42" s="28"/>
      <c r="JM42" s="28"/>
      <c r="JN42" s="28"/>
      <c r="JO42" s="28"/>
      <c r="JP42" s="28"/>
      <c r="JQ42" s="28"/>
      <c r="JR42" s="28"/>
      <c r="JS42" s="28"/>
      <c r="JT42" s="28"/>
      <c r="JU42" s="28"/>
      <c r="JV42" s="28"/>
      <c r="JW42" s="28"/>
      <c r="JX42" s="28"/>
      <c r="JY42" s="28"/>
      <c r="JZ42" s="28"/>
      <c r="KA42" s="28"/>
      <c r="KB42" s="28"/>
      <c r="KC42" s="28"/>
      <c r="KD42" s="28"/>
      <c r="KE42" s="28"/>
      <c r="KF42" s="28"/>
      <c r="KG42" s="28"/>
      <c r="KH42" s="28"/>
      <c r="KI42" s="28"/>
      <c r="KJ42" s="28"/>
      <c r="KK42" s="28"/>
      <c r="KL42" s="28"/>
      <c r="KM42" s="28"/>
      <c r="KN42" s="28"/>
      <c r="KO42" s="28"/>
      <c r="KP42" s="28"/>
      <c r="KQ42" s="28"/>
      <c r="KR42" s="28"/>
      <c r="KS42" s="28"/>
      <c r="KT42" s="28"/>
      <c r="KU42" s="28"/>
      <c r="KV42" s="28"/>
      <c r="KW42" s="28"/>
      <c r="KX42" s="28"/>
      <c r="KY42" s="28"/>
      <c r="KZ42" s="28"/>
      <c r="LA42" s="28"/>
      <c r="LB42" s="28"/>
      <c r="LC42" s="28"/>
      <c r="LD42" s="28"/>
      <c r="LE42" s="28"/>
      <c r="LF42" s="28"/>
      <c r="LG42" s="28"/>
      <c r="LH42" s="28"/>
      <c r="LI42" s="28"/>
      <c r="LJ42" s="28"/>
      <c r="LK42" s="28"/>
      <c r="LL42" s="28"/>
      <c r="LM42" s="28"/>
      <c r="LN42" s="28"/>
      <c r="LO42" s="28"/>
      <c r="LP42" s="28"/>
      <c r="LQ42" s="28"/>
      <c r="LR42" s="28"/>
      <c r="LS42" s="28"/>
      <c r="LT42" s="28"/>
      <c r="LU42" s="28"/>
      <c r="LV42" s="28"/>
      <c r="LW42" s="28"/>
      <c r="LX42" s="28"/>
      <c r="LY42" s="28"/>
      <c r="LZ42" s="28"/>
      <c r="MA42" s="28"/>
      <c r="MB42" s="28"/>
      <c r="MC42" s="28"/>
      <c r="MD42" s="28"/>
      <c r="ME42" s="28"/>
      <c r="MF42" s="28"/>
      <c r="MG42" s="28"/>
      <c r="MH42" s="28"/>
      <c r="MI42" s="28"/>
      <c r="MJ42" s="28"/>
      <c r="MK42" s="28"/>
      <c r="ML42" s="28"/>
      <c r="MM42" s="28"/>
      <c r="MN42" s="28"/>
      <c r="MO42" s="28"/>
      <c r="MP42" s="28"/>
      <c r="MQ42" s="28"/>
      <c r="MR42" s="28"/>
      <c r="MS42" s="28"/>
      <c r="MT42" s="28"/>
      <c r="MU42" s="28"/>
      <c r="MV42" s="28"/>
      <c r="MW42" s="28"/>
      <c r="MX42" s="28"/>
      <c r="MY42" s="28"/>
      <c r="MZ42" s="28"/>
      <c r="NA42" s="28"/>
      <c r="NB42" s="28"/>
      <c r="NC42" s="28"/>
      <c r="ND42" s="28"/>
      <c r="NE42" s="28"/>
      <c r="NF42" s="28"/>
      <c r="NG42" s="28"/>
      <c r="NH42" s="28"/>
      <c r="NI42" s="28"/>
      <c r="NJ42" s="28"/>
      <c r="NK42" s="28"/>
      <c r="NL42" s="28"/>
      <c r="NM42" s="28"/>
      <c r="NN42" s="28"/>
      <c r="NO42" s="28"/>
      <c r="NP42" s="28"/>
      <c r="NQ42" s="28"/>
      <c r="NR42" s="28"/>
      <c r="NS42" s="28"/>
      <c r="NT42" s="28"/>
      <c r="NU42" s="28"/>
      <c r="NV42" s="28"/>
      <c r="NW42" s="28"/>
      <c r="NX42" s="28"/>
      <c r="NY42" s="28"/>
      <c r="NZ42" s="28"/>
      <c r="OA42" s="28"/>
      <c r="OB42" s="28"/>
      <c r="OC42" s="28"/>
      <c r="OD42" s="28"/>
      <c r="OE42" s="28"/>
      <c r="OF42" s="28"/>
      <c r="OG42" s="28"/>
      <c r="OH42" s="28"/>
      <c r="OI42" s="28"/>
      <c r="OJ42" s="28"/>
      <c r="OK42" s="28"/>
      <c r="OL42" s="2"/>
    </row>
    <row r="43" spans="1:402" ht="15" customHeight="1" x14ac:dyDescent="0.25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B1:M34"/>
  <sheetViews>
    <sheetView tabSelected="1" workbookViewId="0">
      <selection activeCell="J24" sqref="J24"/>
    </sheetView>
  </sheetViews>
  <sheetFormatPr defaultRowHeight="15" x14ac:dyDescent="0.25"/>
  <cols>
    <col min="1" max="1" width="8.85546875" customWidth="1"/>
    <col min="2" max="2" width="12.140625" customWidth="1"/>
    <col min="4" max="4" width="10.85546875" customWidth="1"/>
    <col min="10" max="10" width="18" customWidth="1"/>
    <col min="12" max="12" width="12.28515625" customWidth="1"/>
  </cols>
  <sheetData>
    <row r="1" spans="2:13" ht="19.5" thickBot="1" x14ac:dyDescent="0.35">
      <c r="B1" s="4" t="s">
        <v>4</v>
      </c>
      <c r="C1" s="19"/>
      <c r="D1" s="20"/>
      <c r="E1" s="21"/>
      <c r="F1" s="22" t="s">
        <v>10</v>
      </c>
      <c r="G1" s="20"/>
      <c r="H1" s="20"/>
      <c r="J1" s="12" t="s">
        <v>21</v>
      </c>
      <c r="K1" s="5"/>
      <c r="L1" s="5"/>
    </row>
    <row r="2" spans="2:13" ht="14.45" customHeight="1" x14ac:dyDescent="0.25">
      <c r="C2" s="21"/>
      <c r="D2" s="21"/>
      <c r="E2" s="21"/>
      <c r="F2" s="21"/>
      <c r="G2" s="21"/>
      <c r="H2" s="21"/>
      <c r="J2" s="6"/>
      <c r="K2" t="s">
        <v>42</v>
      </c>
      <c r="M2">
        <v>0</v>
      </c>
    </row>
    <row r="3" spans="2:13" x14ac:dyDescent="0.25">
      <c r="B3" t="s">
        <v>0</v>
      </c>
      <c r="C3" s="10">
        <v>2</v>
      </c>
      <c r="D3" s="21" t="s">
        <v>11</v>
      </c>
      <c r="E3" s="21"/>
      <c r="F3" s="21" t="s">
        <v>44</v>
      </c>
      <c r="G3" s="8">
        <v>273</v>
      </c>
      <c r="H3" s="21" t="s">
        <v>12</v>
      </c>
      <c r="J3" s="18"/>
      <c r="K3" t="s">
        <v>43</v>
      </c>
      <c r="M3">
        <v>3</v>
      </c>
    </row>
    <row r="4" spans="2:13" x14ac:dyDescent="0.25">
      <c r="B4" t="s">
        <v>1</v>
      </c>
      <c r="C4" s="10">
        <v>0.2</v>
      </c>
      <c r="D4" s="21" t="s">
        <v>11</v>
      </c>
      <c r="E4" s="21"/>
      <c r="F4" s="21" t="s">
        <v>45</v>
      </c>
      <c r="G4" s="8">
        <v>300</v>
      </c>
      <c r="H4" s="21" t="s">
        <v>12</v>
      </c>
      <c r="J4" s="13"/>
      <c r="K4" t="s">
        <v>46</v>
      </c>
      <c r="M4">
        <v>10</v>
      </c>
    </row>
    <row r="5" spans="2:13" x14ac:dyDescent="0.25">
      <c r="B5" s="14" t="s">
        <v>41</v>
      </c>
      <c r="C5" s="9">
        <f>C7/C6</f>
        <v>0.1</v>
      </c>
      <c r="D5" s="23"/>
      <c r="E5" s="21"/>
      <c r="F5" s="21" t="s">
        <v>29</v>
      </c>
      <c r="G5" s="8">
        <v>0.1</v>
      </c>
      <c r="H5" s="21" t="s">
        <v>13</v>
      </c>
      <c r="J5" s="3"/>
      <c r="K5" t="s">
        <v>22</v>
      </c>
      <c r="M5">
        <v>44</v>
      </c>
    </row>
    <row r="6" spans="2:13" x14ac:dyDescent="0.25">
      <c r="B6" t="s">
        <v>2</v>
      </c>
      <c r="C6" s="8">
        <f>C3/C4*C7</f>
        <v>400</v>
      </c>
      <c r="D6" s="21"/>
      <c r="E6" s="21"/>
      <c r="F6" s="21"/>
      <c r="G6" s="21"/>
      <c r="H6" s="21"/>
      <c r="J6" s="7"/>
      <c r="K6" t="s">
        <v>23</v>
      </c>
      <c r="M6">
        <v>42</v>
      </c>
    </row>
    <row r="7" spans="2:13" x14ac:dyDescent="0.25">
      <c r="B7" t="s">
        <v>3</v>
      </c>
      <c r="C7" s="8">
        <v>40</v>
      </c>
      <c r="D7" s="21"/>
      <c r="E7" s="21"/>
      <c r="F7" s="21"/>
      <c r="G7" s="21"/>
      <c r="H7" s="21"/>
      <c r="J7" s="11"/>
      <c r="K7" t="s">
        <v>24</v>
      </c>
      <c r="M7">
        <v>41</v>
      </c>
    </row>
    <row r="8" spans="2:13" x14ac:dyDescent="0.25">
      <c r="C8" s="24" t="b">
        <v>1</v>
      </c>
      <c r="D8" s="21"/>
      <c r="E8" s="21"/>
      <c r="F8" s="21"/>
      <c r="G8" s="21"/>
      <c r="H8" s="21"/>
    </row>
    <row r="9" spans="2:13" x14ac:dyDescent="0.25">
      <c r="C9" s="21"/>
      <c r="D9" s="21"/>
      <c r="E9" s="21"/>
      <c r="F9" s="21"/>
      <c r="G9" s="21"/>
      <c r="H9" s="21"/>
    </row>
    <row r="10" spans="2:13" x14ac:dyDescent="0.25">
      <c r="C10" s="21"/>
      <c r="D10" s="21"/>
      <c r="E10" s="21"/>
      <c r="F10" s="21"/>
      <c r="G10" s="21"/>
      <c r="H10" s="21"/>
    </row>
    <row r="11" spans="2:13" ht="19.5" thickBot="1" x14ac:dyDescent="0.35">
      <c r="B11" s="4" t="s">
        <v>19</v>
      </c>
      <c r="C11" s="20"/>
      <c r="D11" s="20"/>
      <c r="E11" s="21"/>
      <c r="F11" s="22" t="s">
        <v>28</v>
      </c>
      <c r="G11" s="20"/>
      <c r="H11" s="20"/>
      <c r="J11" s="4" t="s">
        <v>27</v>
      </c>
      <c r="K11" s="5"/>
      <c r="L11" s="5"/>
    </row>
    <row r="12" spans="2:13" x14ac:dyDescent="0.25">
      <c r="C12" s="21"/>
      <c r="D12" s="21"/>
      <c r="E12" s="21"/>
      <c r="F12" s="21"/>
      <c r="G12" s="21"/>
      <c r="H12" s="21"/>
    </row>
    <row r="13" spans="2:13" x14ac:dyDescent="0.25">
      <c r="B13" t="s">
        <v>9</v>
      </c>
      <c r="C13" s="8">
        <v>100</v>
      </c>
      <c r="D13" s="21"/>
      <c r="E13" s="21"/>
      <c r="F13" s="25" t="s">
        <v>7</v>
      </c>
      <c r="G13" s="30" t="s">
        <v>8</v>
      </c>
      <c r="H13" s="30"/>
      <c r="J13" t="s">
        <v>30</v>
      </c>
      <c r="K13" s="17" t="s">
        <v>31</v>
      </c>
      <c r="L13" s="16"/>
    </row>
    <row r="14" spans="2:13" x14ac:dyDescent="0.25">
      <c r="B14" t="s">
        <v>14</v>
      </c>
      <c r="C14" s="8">
        <v>1</v>
      </c>
      <c r="D14" s="21"/>
      <c r="E14" s="21"/>
      <c r="F14" s="25" t="s">
        <v>25</v>
      </c>
      <c r="G14" s="8">
        <v>0.1</v>
      </c>
      <c r="H14" s="25"/>
      <c r="J14" t="s">
        <v>33</v>
      </c>
      <c r="K14" s="15">
        <f>INDEX('Fluid properties'!$A$4:$R$15,1,MATCH($K$13,'Fluid properties'!$3:$3))</f>
        <v>1</v>
      </c>
      <c r="L14" t="s">
        <v>38</v>
      </c>
    </row>
    <row r="15" spans="2:13" x14ac:dyDescent="0.25">
      <c r="B15" t="s">
        <v>15</v>
      </c>
      <c r="C15" s="8">
        <v>1</v>
      </c>
      <c r="D15" s="21"/>
      <c r="E15" s="21"/>
      <c r="F15" s="21"/>
      <c r="G15" s="21"/>
      <c r="H15" s="21"/>
      <c r="J15" t="s">
        <v>34</v>
      </c>
      <c r="K15" s="15">
        <f>INDEX('Fluid properties'!$A$4:$R$15,2,MATCH($K$13,'Fluid properties'!$3:$3))</f>
        <v>2.0000000000000002E-5</v>
      </c>
      <c r="L15" t="s">
        <v>39</v>
      </c>
    </row>
    <row r="16" spans="2:13" x14ac:dyDescent="0.25">
      <c r="B16" t="s">
        <v>16</v>
      </c>
      <c r="C16" s="8">
        <v>30</v>
      </c>
      <c r="D16" s="21"/>
      <c r="E16" s="21"/>
      <c r="F16" s="21" t="s">
        <v>5</v>
      </c>
      <c r="G16" s="8">
        <v>0.1</v>
      </c>
      <c r="H16" s="21"/>
      <c r="J16" t="s">
        <v>37</v>
      </c>
      <c r="K16">
        <f>INDEX('Fluid properties'!$A$4:$R$15,3,MATCH($K$13,'Fluid properties'!$3:$3))</f>
        <v>1013</v>
      </c>
      <c r="L16" t="s">
        <v>36</v>
      </c>
    </row>
    <row r="17" spans="2:12" x14ac:dyDescent="0.25">
      <c r="B17" t="s">
        <v>20</v>
      </c>
      <c r="C17" s="8">
        <v>1</v>
      </c>
      <c r="D17" s="21"/>
      <c r="E17" s="21"/>
      <c r="F17" s="21" t="s">
        <v>6</v>
      </c>
      <c r="G17" s="8">
        <v>1</v>
      </c>
      <c r="H17" s="21"/>
      <c r="J17" t="s">
        <v>35</v>
      </c>
      <c r="K17">
        <f>INDEX('Fluid properties'!$A$4:$R$15,4,MATCH($K$13,'Fluid properties'!$3:$3))</f>
        <v>2.5000000000000001E-2</v>
      </c>
      <c r="L17" t="s">
        <v>40</v>
      </c>
    </row>
    <row r="18" spans="2:12" x14ac:dyDescent="0.25">
      <c r="B18" t="s">
        <v>17</v>
      </c>
      <c r="C18" s="8">
        <v>1</v>
      </c>
      <c r="D18" s="21"/>
      <c r="E18" s="21"/>
      <c r="F18" s="21"/>
      <c r="G18" s="21"/>
      <c r="H18" s="21"/>
    </row>
    <row r="19" spans="2:12" x14ac:dyDescent="0.25">
      <c r="B19" t="s">
        <v>18</v>
      </c>
      <c r="C19" s="8">
        <v>1</v>
      </c>
      <c r="D19" s="21"/>
      <c r="E19" s="21"/>
      <c r="F19" s="23" t="s">
        <v>26</v>
      </c>
      <c r="G19" s="8">
        <v>1E-3</v>
      </c>
      <c r="H19" s="23"/>
    </row>
    <row r="20" spans="2:12" x14ac:dyDescent="0.25">
      <c r="C20" s="21"/>
      <c r="D20" s="21"/>
      <c r="E20" s="21"/>
      <c r="F20" s="21"/>
      <c r="H20" s="21"/>
    </row>
    <row r="21" spans="2:12" x14ac:dyDescent="0.25">
      <c r="C21" s="21"/>
      <c r="D21" s="21"/>
      <c r="E21" s="21"/>
      <c r="F21" s="21"/>
      <c r="G21" s="21"/>
      <c r="H21" s="21"/>
      <c r="K21" s="31" t="s">
        <v>60</v>
      </c>
    </row>
    <row r="22" spans="2:12" ht="19.5" thickBot="1" x14ac:dyDescent="0.35">
      <c r="B22" s="4" t="s">
        <v>47</v>
      </c>
      <c r="C22" s="19"/>
      <c r="D22" s="20"/>
      <c r="E22" s="20"/>
      <c r="F22" s="20"/>
      <c r="G22" s="20"/>
      <c r="H22" s="20"/>
    </row>
    <row r="23" spans="2:12" x14ac:dyDescent="0.25">
      <c r="C23" s="21"/>
      <c r="D23" s="21"/>
      <c r="E23" s="21"/>
      <c r="F23" s="21" t="s">
        <v>48</v>
      </c>
      <c r="G23" s="21"/>
      <c r="H23" s="21" t="s">
        <v>50</v>
      </c>
      <c r="K23">
        <f>G19*G5*7/(C3/C6)*10</f>
        <v>1.4</v>
      </c>
    </row>
    <row r="24" spans="2:12" x14ac:dyDescent="0.25">
      <c r="B24" t="s">
        <v>49</v>
      </c>
      <c r="C24" s="8" t="s">
        <v>55</v>
      </c>
      <c r="E24" t="s">
        <v>53</v>
      </c>
      <c r="F24" s="9">
        <f>0.25*C$27</f>
        <v>0.5</v>
      </c>
      <c r="H24" s="9">
        <f>F24+IF(C24="Square",C31,SQRT(C31^2 - (C31/2)^2))</f>
        <v>0.6</v>
      </c>
    </row>
    <row r="25" spans="2:12" x14ac:dyDescent="0.25">
      <c r="B25" t="s">
        <v>51</v>
      </c>
      <c r="C25" s="8">
        <v>1.5</v>
      </c>
      <c r="D25" t="s">
        <v>56</v>
      </c>
      <c r="E25" t="s">
        <v>54</v>
      </c>
      <c r="F25" s="9">
        <v>0</v>
      </c>
      <c r="G25" s="23"/>
      <c r="H25" s="9">
        <f>IF(C24="Square",F25,C31/2)</f>
        <v>0</v>
      </c>
    </row>
    <row r="26" spans="2:12" x14ac:dyDescent="0.25">
      <c r="F26" s="26"/>
      <c r="G26" s="26"/>
      <c r="H26" s="26"/>
    </row>
    <row r="27" spans="2:12" x14ac:dyDescent="0.25">
      <c r="B27" t="s">
        <v>0</v>
      </c>
      <c r="C27" s="27">
        <f>C3</f>
        <v>2</v>
      </c>
      <c r="D27" t="s">
        <v>11</v>
      </c>
      <c r="E27" t="s">
        <v>53</v>
      </c>
      <c r="F27" s="9">
        <f>0.25*C$27</f>
        <v>0.5</v>
      </c>
      <c r="H27" s="9">
        <f>H24</f>
        <v>0.6</v>
      </c>
    </row>
    <row r="28" spans="2:12" x14ac:dyDescent="0.25">
      <c r="B28" t="s">
        <v>1</v>
      </c>
      <c r="C28" s="27">
        <f>C4</f>
        <v>0.2</v>
      </c>
      <c r="D28" t="s">
        <v>11</v>
      </c>
      <c r="E28" t="s">
        <v>54</v>
      </c>
      <c r="F28" s="9">
        <f>C31</f>
        <v>0.1</v>
      </c>
      <c r="H28" s="9">
        <f>H25+C31</f>
        <v>0.1</v>
      </c>
    </row>
    <row r="30" spans="2:12" x14ac:dyDescent="0.25">
      <c r="B30" t="s">
        <v>52</v>
      </c>
      <c r="C30" s="9">
        <f>C31/C25</f>
        <v>6.6666666666666666E-2</v>
      </c>
      <c r="D30" t="s">
        <v>11</v>
      </c>
      <c r="E30" t="s">
        <v>53</v>
      </c>
      <c r="F30" s="9">
        <f>0.25*C$27</f>
        <v>0.5</v>
      </c>
      <c r="H30" s="9">
        <f>IF(C24="Square",F30+C$31,"None")</f>
        <v>0.6</v>
      </c>
    </row>
    <row r="31" spans="2:12" x14ac:dyDescent="0.25">
      <c r="B31" t="s">
        <v>51</v>
      </c>
      <c r="C31" s="9">
        <f>C28/2</f>
        <v>0.1</v>
      </c>
      <c r="D31" t="s">
        <v>11</v>
      </c>
      <c r="E31" t="s">
        <v>54</v>
      </c>
      <c r="F31" s="9">
        <f>C28</f>
        <v>0.2</v>
      </c>
      <c r="H31" s="9">
        <f>IF(C24="Square",F31,"None")</f>
        <v>0.2</v>
      </c>
    </row>
    <row r="33" spans="2:4" x14ac:dyDescent="0.25">
      <c r="B33" t="s">
        <v>57</v>
      </c>
      <c r="C33" s="8">
        <f>C3/C6</f>
        <v>5.0000000000000001E-3</v>
      </c>
      <c r="D33" t="s">
        <v>59</v>
      </c>
    </row>
    <row r="34" spans="2:4" x14ac:dyDescent="0.25">
      <c r="B34" t="s">
        <v>58</v>
      </c>
      <c r="C34" s="8">
        <f>C4/C7</f>
        <v>5.0000000000000001E-3</v>
      </c>
      <c r="D34" t="s">
        <v>59</v>
      </c>
    </row>
  </sheetData>
  <mergeCells count="1">
    <mergeCell ref="G13:H13"/>
  </mergeCells>
  <dataValidations count="3">
    <dataValidation type="list" allowBlank="1" showInputMessage="1" showErrorMessage="1" sqref="G13:H13">
      <formula1>"solve,solveGS,solveSOR"</formula1>
    </dataValidation>
    <dataValidation type="list" allowBlank="1" showInputMessage="1" showErrorMessage="1" sqref="K13">
      <formula1>"Air,Water"</formula1>
    </dataValidation>
    <dataValidation type="list" allowBlank="1" showInputMessage="1" showErrorMessage="1" sqref="C24">
      <formula1>"Square,Triangular"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Knop 1">
              <controlPr defaultSize="0" print="0" autoFill="0" autoPict="0" macro="[0]!Blad2.Adjust_grid">
                <anchor moveWithCells="1">
                  <from>
                    <xdr:col>3</xdr:col>
                    <xdr:colOff>0</xdr:colOff>
                    <xdr:row>5</xdr:row>
                    <xdr:rowOff>9525</xdr:rowOff>
                  </from>
                  <to>
                    <xdr:col>4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Knop 4">
              <controlPr defaultSize="0" print="0" autoFill="0" autoPict="0" macro="[0]!Blad1.convert">
                <anchor moveWithCells="1">
                  <from>
                    <xdr:col>5</xdr:col>
                    <xdr:colOff>428625</xdr:colOff>
                    <xdr:row>7</xdr:row>
                    <xdr:rowOff>0</xdr:rowOff>
                  </from>
                  <to>
                    <xdr:col>8</xdr:col>
                    <xdr:colOff>9525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Selectievakje 5">
              <controlPr defaultSize="0" autoFill="0" autoLine="0" autoPict="0">
                <anchor moveWithCells="1">
                  <from>
                    <xdr:col>2</xdr:col>
                    <xdr:colOff>19050</xdr:colOff>
                    <xdr:row>6</xdr:row>
                    <xdr:rowOff>152400</xdr:rowOff>
                  </from>
                  <to>
                    <xdr:col>4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Knop 9">
              <controlPr defaultSize="0" print="0" autoFill="0" autoPict="0" macro="[0]!apply_pattern">
                <anchor moveWithCells="1">
                  <from>
                    <xdr:col>5</xdr:col>
                    <xdr:colOff>171450</xdr:colOff>
                    <xdr:row>21</xdr:row>
                    <xdr:rowOff>0</xdr:rowOff>
                  </from>
                  <to>
                    <xdr:col>7</xdr:col>
                    <xdr:colOff>133350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C7"/>
  <sheetViews>
    <sheetView workbookViewId="0">
      <selection activeCell="G19" sqref="G19"/>
    </sheetView>
  </sheetViews>
  <sheetFormatPr defaultRowHeight="15" x14ac:dyDescent="0.25"/>
  <cols>
    <col min="1" max="1" width="17.7109375" customWidth="1"/>
  </cols>
  <sheetData>
    <row r="1" spans="1:3" ht="19.5" thickBot="1" x14ac:dyDescent="0.35">
      <c r="A1" s="4" t="s">
        <v>27</v>
      </c>
      <c r="B1" s="5"/>
      <c r="C1" s="5"/>
    </row>
    <row r="3" spans="1:3" x14ac:dyDescent="0.25">
      <c r="A3" t="s">
        <v>30</v>
      </c>
      <c r="B3" t="s">
        <v>31</v>
      </c>
      <c r="C3" t="s">
        <v>32</v>
      </c>
    </row>
    <row r="4" spans="1:3" x14ac:dyDescent="0.25">
      <c r="A4" t="s">
        <v>33</v>
      </c>
      <c r="B4">
        <v>1</v>
      </c>
      <c r="C4">
        <v>1000</v>
      </c>
    </row>
    <row r="5" spans="1:3" x14ac:dyDescent="0.25">
      <c r="A5" t="s">
        <v>34</v>
      </c>
      <c r="B5" s="15">
        <v>2.0000000000000002E-5</v>
      </c>
      <c r="C5" s="15">
        <v>1E-3</v>
      </c>
    </row>
    <row r="6" spans="1:3" x14ac:dyDescent="0.25">
      <c r="A6" t="s">
        <v>37</v>
      </c>
      <c r="B6">
        <v>1013</v>
      </c>
      <c r="C6">
        <v>4200</v>
      </c>
    </row>
    <row r="7" spans="1:3" x14ac:dyDescent="0.25">
      <c r="A7" t="s">
        <v>35</v>
      </c>
      <c r="B7">
        <v>2.5000000000000001E-2</v>
      </c>
      <c r="C7">
        <v>0.59099999999999997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Constraints</vt:lpstr>
      <vt:lpstr>Grid settings</vt:lpstr>
      <vt:lpstr>Fluid properties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Student</cp:lastModifiedBy>
  <dcterms:created xsi:type="dcterms:W3CDTF">2018-03-27T12:06:22Z</dcterms:created>
  <dcterms:modified xsi:type="dcterms:W3CDTF">2018-04-13T12:59:30Z</dcterms:modified>
</cp:coreProperties>
</file>