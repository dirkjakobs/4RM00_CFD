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/>
  </bookViews>
  <sheets>
    <sheet name="Constraints" sheetId="1" r:id="rId1"/>
    <sheet name="Grid settings" sheetId="2" r:id="rId2"/>
    <sheet name="Fluid properties" sheetId="3" r:id="rId3"/>
  </sheets>
  <calcPr calcId="171027"/>
</workbook>
</file>

<file path=xl/calcChain.xml><?xml version="1.0" encoding="utf-8"?>
<calcChain xmlns="http://schemas.openxmlformats.org/spreadsheetml/2006/main">
  <c r="C34" i="2" l="1"/>
  <c r="C33" i="2"/>
  <c r="C28" i="2"/>
  <c r="C31" i="2" s="1"/>
  <c r="F28" i="2" s="1"/>
  <c r="C27" i="2"/>
  <c r="F27" i="2" s="1"/>
  <c r="F31" i="2" l="1"/>
  <c r="H31" i="2" s="1"/>
  <c r="F24" i="2"/>
  <c r="F30" i="2"/>
  <c r="H25" i="2"/>
  <c r="H24" i="2" l="1"/>
  <c r="C5" i="2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<sst xmlns="http://schemas.openxmlformats.org/spreadsheetml/2006/main" count="84" uniqueCount="63">
  <si>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</si>
  <si>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</si>
  <si>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</si>
  <si>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</si>
  <si>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</si>
  <si>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</si>
  <si>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</si>
  <si>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</si>
  <si>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</si>
  <si>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</si>
  <si>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</si>
  <si>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</si>
  <si>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</si>
  <si>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</si>
  <si>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</si>
  <si>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</si>
  <si>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</si>
  <si>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</si>
  <si>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</si>
  <si>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</si>
  <si>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</si>
  <si>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</si>
  <si>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</si>
  <si>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</si>
  <si>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</si>
  <si>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</si>
  <si>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</si>
  <si>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</si>
  <si>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</si>
  <si>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</si>
  <si>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</si>
  <si>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</si>
  <si>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</si>
  <si>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</si>
  <si>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</si>
  <si>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</si>
  <si>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</si>
  <si>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</si>
  <si>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</si>
  <si>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</si>
  <si>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</si>
  <si>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</si>
  <si>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</si>
  <si>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</si>
  <si>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</si>
  <si>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</si>
  <si>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</si>
  <si>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</si>
  <si>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</si>
  <si>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</si>
  <si>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</si>
  <si>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</si>
  <si>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</si>
  <si>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</si>
  <si>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</si>
  <si>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</si>
  <si>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</si>
  <si>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</si>
  <si>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</si>
  <si>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</si>
  <si>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</si>
  <si>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</si>
  <si>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Triangular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</si>
</sst>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1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4" fillId="0" borderId="0" xfId="0" applyFont="1"/>
    <xf numFmtId="0" fontId="0" fillId="11" borderId="0" xfId="0" applyFill="1"/>
    <xf numFmtId="0" fontId="2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21</xdr:row>
          <xdr:rowOff>228600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D42"/>
  <sheetViews>
    <sheetView tabSelected="1" zoomScale="77" zoomScaleNormal="77" workbookViewId="0">
      <selection activeCell="K68" sqref="K68"/>
    </sheetView>
  </sheetViews>
  <sheetFormatPr defaultRowHeight="14.4" x14ac:dyDescent="0.3"/>
  <cols>
    <col min="1" max="82" width="3.21875" customWidth="1"/>
  </cols>
  <sheetData>
    <row r="1" spans="1:82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2"/>
    </row>
    <row r="2" spans="1:8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18"/>
      <c r="R2" s="18"/>
      <c r="S2" s="7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2"/>
    </row>
    <row r="3" spans="1:8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7"/>
      <c r="Q3" s="18"/>
      <c r="R3" s="18"/>
      <c r="S3" s="7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2"/>
    </row>
    <row r="4" spans="1:8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7"/>
      <c r="Q4" s="18"/>
      <c r="R4" s="18"/>
      <c r="S4" s="7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2"/>
    </row>
    <row r="5" spans="1:8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7"/>
      <c r="Q5" s="18"/>
      <c r="R5" s="18"/>
      <c r="S5" s="7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2"/>
    </row>
    <row r="6" spans="1:8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7"/>
      <c r="Q6" s="18"/>
      <c r="R6" s="18"/>
      <c r="S6" s="7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2"/>
    </row>
    <row r="7" spans="1:8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7"/>
      <c r="Q7" s="18"/>
      <c r="R7" s="18"/>
      <c r="S7" s="7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2"/>
    </row>
    <row r="8" spans="1:8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7"/>
      <c r="Q8" s="18"/>
      <c r="R8" s="18"/>
      <c r="S8" s="7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2"/>
    </row>
    <row r="9" spans="1:8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7"/>
      <c r="Q9" s="18"/>
      <c r="R9" s="18"/>
      <c r="S9" s="7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2"/>
    </row>
    <row r="10" spans="1:8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2"/>
    </row>
    <row r="11" spans="1:8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2"/>
    </row>
    <row r="12" spans="1:8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2"/>
    </row>
    <row r="13" spans="1:8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2"/>
    </row>
    <row r="14" spans="1:8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2"/>
    </row>
    <row r="15" spans="1:8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2"/>
    </row>
    <row r="16" spans="1:8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2"/>
    </row>
    <row r="17" spans="1:8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"/>
      <c r="AK17" s="3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2"/>
    </row>
    <row r="18" spans="1:8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/>
      <c r="AJ18" s="18"/>
      <c r="AK18" s="18"/>
      <c r="AL18" s="7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2"/>
    </row>
    <row r="19" spans="1:8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/>
      <c r="AJ19" s="18"/>
      <c r="AK19" s="18"/>
      <c r="AL19" s="7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2"/>
    </row>
    <row r="20" spans="1:8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/>
      <c r="AJ20" s="18"/>
      <c r="AK20" s="18"/>
      <c r="AL20" s="7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2"/>
    </row>
    <row r="21" spans="1:8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/>
      <c r="AJ21" s="18"/>
      <c r="AK21" s="18"/>
      <c r="AL21" s="7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2"/>
    </row>
    <row r="22" spans="1:8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/>
      <c r="AJ22" s="18"/>
      <c r="AK22" s="18"/>
      <c r="AL22" s="7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2"/>
    </row>
    <row r="23" spans="1:8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/>
      <c r="AJ23" s="18"/>
      <c r="AK23" s="18"/>
      <c r="AL23" s="7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2"/>
    </row>
    <row r="24" spans="1:8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/>
      <c r="AJ24" s="18"/>
      <c r="AK24" s="18"/>
      <c r="AL24" s="7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2"/>
    </row>
    <row r="25" spans="1:8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/>
      <c r="AJ25" s="18"/>
      <c r="AK25" s="18"/>
      <c r="AL25" s="7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2"/>
    </row>
    <row r="26" spans="1:8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/>
      <c r="AJ26" s="18"/>
      <c r="AK26" s="18"/>
      <c r="AL26" s="7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2"/>
    </row>
    <row r="27" spans="1:8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/>
      <c r="AJ27" s="18"/>
      <c r="AK27" s="18"/>
      <c r="AL27" s="7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2"/>
    </row>
    <row r="28" spans="1:8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/>
      <c r="AJ28" s="18"/>
      <c r="AK28" s="18"/>
      <c r="AL28" s="7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2"/>
    </row>
    <row r="29" spans="1:8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/>
      <c r="AJ29" s="18"/>
      <c r="AK29" s="18"/>
      <c r="AL29" s="7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2"/>
    </row>
    <row r="30" spans="1:8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/>
      <c r="AJ30" s="18"/>
      <c r="AK30" s="18"/>
      <c r="AL30" s="7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2"/>
    </row>
    <row r="31" spans="1:8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/>
      <c r="AJ31" s="18"/>
      <c r="AK31" s="18"/>
      <c r="AL31" s="7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2"/>
    </row>
    <row r="32" spans="1:8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/>
      <c r="AJ32" s="18"/>
      <c r="AK32" s="18"/>
      <c r="AL32" s="7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2"/>
    </row>
    <row r="33" spans="1:8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/>
      <c r="AJ33" s="18"/>
      <c r="AK33" s="18"/>
      <c r="AL33" s="7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2"/>
    </row>
    <row r="34" spans="1:8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/>
      <c r="AJ34" s="18"/>
      <c r="AK34" s="18"/>
      <c r="AL34" s="7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2"/>
    </row>
    <row r="35" spans="1:8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/>
      <c r="AJ35" s="18"/>
      <c r="AK35" s="18"/>
      <c r="AL35" s="7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2"/>
    </row>
    <row r="36" spans="1:8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/>
      <c r="AJ36" s="18"/>
      <c r="AK36" s="18"/>
      <c r="AL36" s="7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2"/>
    </row>
    <row r="37" spans="1:8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/>
      <c r="AJ37" s="18"/>
      <c r="AK37" s="18"/>
      <c r="AL37" s="7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2"/>
    </row>
    <row r="38" spans="1:8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/>
      <c r="AJ38" s="18"/>
      <c r="AK38" s="18"/>
      <c r="AL38" s="7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2"/>
    </row>
    <row r="39" spans="1:8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/>
      <c r="AJ39" s="18"/>
      <c r="AK39" s="18"/>
      <c r="AL39" s="7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2"/>
    </row>
    <row r="40" spans="1:8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/>
      <c r="AJ40" s="18"/>
      <c r="AK40" s="18"/>
      <c r="AL40" s="7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2"/>
    </row>
    <row r="41" spans="1:8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/>
      <c r="AJ41" s="18"/>
      <c r="AK41" s="18"/>
      <c r="AL41" s="7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2"/>
    </row>
    <row r="42" spans="1:82" ht="4.95" customHeight="1" x14ac:dyDescent="0.3">
      <c r="A42" s="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workbookViewId="0">
      <selection activeCell="G19" sqref="G19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1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0.5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80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30" t="s">
        <v>8</v>
      </c>
      <c r="H13" s="30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x14ac:dyDescent="0.3">
      <c r="C20" s="21"/>
      <c r="D20" s="21"/>
      <c r="E20" s="21"/>
      <c r="F20" s="23" t="s">
        <v>60</v>
      </c>
      <c r="G20" s="8">
        <v>10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29" t="b">
        <v>0</v>
      </c>
    </row>
    <row r="24" spans="2:12" x14ac:dyDescent="0.3">
      <c r="B24" t="s">
        <v>50</v>
      </c>
      <c r="C24" s="8" t="s">
        <v>62</v>
      </c>
      <c r="E24" t="s">
        <v>54</v>
      </c>
      <c r="F24" s="9">
        <f>0.25*C$27</f>
        <v>0.25</v>
      </c>
      <c r="H24" s="9">
        <f>F24+IF(C24="Square",C31,SQRT(C31^2 - (C31/2)^2))</f>
        <v>0.33660254037844389</v>
      </c>
      <c r="J24" s="28" t="b">
        <v>0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0.05</v>
      </c>
      <c r="K25" s="15"/>
    </row>
    <row r="26" spans="2:12" x14ac:dyDescent="0.3">
      <c r="F26" s="26"/>
      <c r="G26" s="26"/>
      <c r="H26" s="26"/>
      <c r="K26" s="15"/>
    </row>
    <row r="27" spans="2:12" x14ac:dyDescent="0.3">
      <c r="B27" t="s">
        <v>0</v>
      </c>
      <c r="C27" s="27">
        <f>C3</f>
        <v>1</v>
      </c>
      <c r="D27" t="s">
        <v>11</v>
      </c>
      <c r="E27" t="s">
        <v>54</v>
      </c>
      <c r="F27" s="9">
        <f>0.25*C$27</f>
        <v>0.25</v>
      </c>
      <c r="H27" s="9">
        <f>H24</f>
        <v>0.33660254037844389</v>
      </c>
    </row>
    <row r="28" spans="2:12" x14ac:dyDescent="0.3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0.15000000000000002</v>
      </c>
    </row>
    <row r="30" spans="2:12" x14ac:dyDescent="0.3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0.25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 t="str">
        <f>IF(C24="Square",F31,"None")</f>
        <v>None</v>
      </c>
    </row>
    <row r="33" spans="2:4" x14ac:dyDescent="0.3">
      <c r="B33" t="s">
        <v>57</v>
      </c>
      <c r="C33" s="8">
        <f>C3/C6</f>
        <v>1.2500000000000001E-2</v>
      </c>
      <c r="D33" t="s">
        <v>59</v>
      </c>
    </row>
    <row r="34" spans="2:4" x14ac:dyDescent="0.3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9</xdr:col>
                    <xdr:colOff>91440</xdr:colOff>
                    <xdr:row>21</xdr:row>
                    <xdr:rowOff>228600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2018-04-13T19:12:59Z</dcterms:modified>
</cp:coreProperties>
</file>