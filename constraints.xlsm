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3040" windowHeight="9060"/>
  </bookViews>
  <sheets>
    <sheet name="Constraints" sheetId="1" r:id="rId1"/>
    <sheet name="Grid settings" sheetId="2" r:id="rId2"/>
    <sheet name="Fluid properties" sheetId="3" r:id="rId3"/>
  </sheets>
  <calcPr calcId="145621"/>
  <fileRecoveryPr repairLoad="1"/>
</workbook>
</file>

<file path=xl/calcChain.xml><?xml version="1.0" encoding="utf-8"?>
<calcChain xmlns="http://schemas.openxmlformats.org/spreadsheetml/2006/main">
  <c r="C34" i="2" l="1"/>
  <c r="C33" i="2"/>
  <c r="C28" i="2"/>
  <c r="C31" i="2" s="1"/>
  <c r="F28" i="2" s="1"/>
  <c r="C27" i="2"/>
  <c r="F27" i="2" s="1"/>
  <c r="F31" i="2" l="1"/>
  <c r="H31" i="2" s="1"/>
  <c r="F24" i="2"/>
  <c r="F30" i="2"/>
  <c r="H25" i="2"/>
  <c r="H24" i="2" l="1"/>
  <c r="C5" i="2"/>
  <c r="K17" i="2" l="1"/>
  <c r="K16" i="2"/>
  <c r="K15" i="2"/>
  <c r="K14" i="2"/>
  <c r="H30" i="2"/>
  <c r="H28" i="2"/>
  <c r="C30" i="2"/>
  <c r="H27" i="2" l="1"/>
</calcChain>
</file>

<file path=xl/sharedStrings.xml><?xml version="1.0" encoding="utf-8"?>
<sst xmlns="http://schemas.openxmlformats.org/spreadsheetml/2006/main" count="82" uniqueCount="61">
  <si>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</si>
  <si>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</si>
  <si>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</si>
  <si>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</si>
  <si>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</si>
  <si>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</si>
  <si>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</si>
  <si>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</si>
  <si>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</si>
  <si>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</si>
  <si>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</si>
  <si>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</si>
  <si>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</si>
  <si>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</si>
  <si>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</si>
  <si>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</si>
  <si>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</si>
  <si>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</si>
  <si>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</si>
  <si>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</si>
  <si>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</si>
  <si>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</si>
  <si>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</si>
  <si>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</si>
  <si>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</si>
  <si>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</si>
  <si>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</si>
  <si>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</si>
  <si>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</si>
  <si>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</si>
  <si>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</si>
  <si>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</si>
  <si>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</si>
  <si>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</si>
  <si>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</si>
  <si>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</si>
  <si>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</si>
  <si>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</si>
  <si>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</si>
  <si>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</si>
  <si>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</si>
  <si>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</si>
  <si>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</si>
  <si>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</si>
  <si>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</si>
  <si>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</si>
  <si>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</si>
  <si>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</si>
  <si>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</si>
  <si>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</si>
  <si>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</si>
  <si>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</si>
  <si>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</si>
  <si>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</si>
  <si>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</si>
  <si>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</si>
  <si>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Square</t>
  </si>
  <si>
    <t>*D</t>
  </si>
  <si>
    <t>DX</t>
  </si>
  <si>
    <t>DY</t>
  </si>
  <si>
    <t>[m / cell]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</si>
</sst>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29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2" fillId="6" borderId="3" xfId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171450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7</xdr:row>
          <xdr:rowOff>0</xdr:rowOff>
        </xdr:from>
        <xdr:to>
          <xdr:col>8</xdr:col>
          <xdr:colOff>9525</xdr:colOff>
          <xdr:row>8</xdr:row>
          <xdr:rowOff>171450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4</xdr:col>
          <xdr:colOff>0</xdr:colOff>
          <xdr:row>8</xdr:row>
          <xdr:rowOff>19050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21</xdr:row>
          <xdr:rowOff>0</xdr:rowOff>
        </xdr:from>
        <xdr:to>
          <xdr:col>7</xdr:col>
          <xdr:colOff>133350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H42"/>
  <sheetViews>
    <sheetView tabSelected="1" zoomScale="102" zoomScaleNormal="102" workbookViewId="0">
      <selection activeCell="I33" sqref="I33"/>
    </sheetView>
  </sheetViews>
  <sheetFormatPr defaultRowHeight="15" x14ac:dyDescent="0.25"/>
  <cols>
    <col min="1" max="22" width="9.85546875" customWidth="1"/>
  </cols>
  <sheetData>
    <row r="1" spans="1:34" ht="10.7" customHeight="1" x14ac:dyDescent="0.25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2"/>
    </row>
    <row r="2" spans="1:34" ht="10.7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2"/>
      <c r="AH2" t="s">
        <v>47</v>
      </c>
    </row>
    <row r="3" spans="1:34" ht="10.7" customHeight="1" x14ac:dyDescent="0.25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"/>
    </row>
    <row r="4" spans="1:34" ht="10.7" customHeight="1" x14ac:dyDescent="0.2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2"/>
    </row>
    <row r="5" spans="1:34" ht="10.7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2"/>
    </row>
    <row r="6" spans="1:34" ht="10.7" customHeight="1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"/>
    </row>
    <row r="7" spans="1:34" ht="10.7" customHeight="1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2"/>
    </row>
    <row r="8" spans="1:34" ht="10.7" customHeight="1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2"/>
    </row>
    <row r="9" spans="1:34" ht="10.7" customHeight="1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2"/>
    </row>
    <row r="10" spans="1:34" ht="10.7" customHeight="1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2"/>
    </row>
    <row r="11" spans="1:34" ht="10.7" customHeight="1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2"/>
    </row>
    <row r="12" spans="1:34" ht="10.7" customHeight="1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2"/>
    </row>
    <row r="13" spans="1:34" ht="10.7" customHeight="1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2"/>
    </row>
    <row r="14" spans="1:34" ht="10.7" customHeight="1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2"/>
    </row>
    <row r="15" spans="1:34" ht="10.7" customHeight="1" x14ac:dyDescent="0.25">
      <c r="A15" s="2"/>
      <c r="B15" s="1"/>
      <c r="C15" s="1"/>
      <c r="D15" s="1"/>
      <c r="E15" s="1"/>
      <c r="F15" s="3"/>
      <c r="G15" s="3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2"/>
    </row>
    <row r="16" spans="1:34" ht="10.7" customHeight="1" x14ac:dyDescent="0.25">
      <c r="A16" s="2"/>
      <c r="B16" s="1"/>
      <c r="C16" s="1"/>
      <c r="D16" s="1"/>
      <c r="E16" s="7"/>
      <c r="F16" s="18"/>
      <c r="G16" s="18"/>
      <c r="H16" s="7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2"/>
    </row>
    <row r="17" spans="1:22" ht="10.7" customHeight="1" x14ac:dyDescent="0.25">
      <c r="A17" s="2"/>
      <c r="B17" s="1"/>
      <c r="C17" s="1"/>
      <c r="D17" s="1"/>
      <c r="E17" s="7"/>
      <c r="F17" s="18"/>
      <c r="G17" s="18"/>
      <c r="H17" s="7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2"/>
    </row>
    <row r="18" spans="1:22" ht="10.7" customHeight="1" x14ac:dyDescent="0.25">
      <c r="A18" s="2"/>
      <c r="B18" s="1"/>
      <c r="C18" s="1"/>
      <c r="D18" s="1"/>
      <c r="E18" s="7"/>
      <c r="F18" s="18"/>
      <c r="G18" s="18"/>
      <c r="H18" s="7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2"/>
    </row>
    <row r="19" spans="1:22" ht="10.7" customHeight="1" x14ac:dyDescent="0.25">
      <c r="A19" s="2"/>
      <c r="B19" s="1"/>
      <c r="C19" s="1"/>
      <c r="D19" s="1"/>
      <c r="E19" s="7"/>
      <c r="F19" s="18"/>
      <c r="G19" s="18"/>
      <c r="H19" s="7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2"/>
    </row>
    <row r="20" spans="1:22" ht="10.7" customHeight="1" x14ac:dyDescent="0.25">
      <c r="A20" s="2"/>
      <c r="B20" s="1"/>
      <c r="C20" s="1"/>
      <c r="D20" s="1"/>
      <c r="E20" s="7"/>
      <c r="F20" s="18"/>
      <c r="G20" s="18"/>
      <c r="H20" s="7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"/>
    </row>
    <row r="21" spans="1:22" ht="10.7" customHeight="1" x14ac:dyDescent="0.25">
      <c r="A21" s="2"/>
      <c r="B21" s="1"/>
      <c r="C21" s="1"/>
      <c r="D21" s="1"/>
      <c r="E21" s="7"/>
      <c r="F21" s="18"/>
      <c r="G21" s="18"/>
      <c r="H21" s="7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"/>
    </row>
    <row r="22" spans="1:22" ht="10.7" customHeight="1" x14ac:dyDescent="0.25">
      <c r="A22" s="2"/>
      <c r="B22" s="1"/>
      <c r="C22" s="1"/>
      <c r="D22" s="1"/>
      <c r="E22" s="7"/>
      <c r="F22" s="18"/>
      <c r="G22" s="18"/>
      <c r="H22" s="7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"/>
    </row>
    <row r="23" spans="1:22" ht="10.7" customHeight="1" x14ac:dyDescent="0.25">
      <c r="A23" s="2"/>
      <c r="B23" s="1"/>
      <c r="C23" s="1"/>
      <c r="D23" s="1"/>
      <c r="E23" s="7"/>
      <c r="F23" s="18"/>
      <c r="G23" s="18"/>
      <c r="H23" s="7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"/>
    </row>
    <row r="24" spans="1:22" ht="10.7" customHeight="1" x14ac:dyDescent="0.25">
      <c r="A24" s="2"/>
      <c r="B24" s="1"/>
      <c r="C24" s="1"/>
      <c r="D24" s="1"/>
      <c r="E24" s="7"/>
      <c r="F24" s="18"/>
      <c r="G24" s="18"/>
      <c r="H24" s="7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"/>
    </row>
    <row r="25" spans="1:22" ht="10.7" customHeight="1" x14ac:dyDescent="0.25">
      <c r="A25" s="2"/>
      <c r="B25" s="1"/>
      <c r="C25" s="1"/>
      <c r="D25" s="1"/>
      <c r="E25" s="1"/>
      <c r="F25" s="3"/>
      <c r="G25" s="3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"/>
    </row>
    <row r="26" spans="1:22" ht="10.7" customHeight="1" x14ac:dyDescent="0.25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"/>
    </row>
    <row r="27" spans="1:22" ht="10.7" customHeight="1" x14ac:dyDescent="0.25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"/>
    </row>
    <row r="28" spans="1:22" ht="10.7" customHeight="1" x14ac:dyDescent="0.25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"/>
    </row>
    <row r="29" spans="1:22" ht="10.7" customHeight="1" x14ac:dyDescent="0.25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"/>
    </row>
    <row r="30" spans="1:22" ht="10.7" customHeight="1" x14ac:dyDescent="0.25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"/>
    </row>
    <row r="31" spans="1:22" ht="10.7" customHeight="1" x14ac:dyDescent="0.25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"/>
    </row>
    <row r="32" spans="1:22" ht="10.7" customHeight="1" x14ac:dyDescent="0.25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"/>
    </row>
    <row r="33" spans="1:22" ht="10.7" customHeight="1" x14ac:dyDescent="0.25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"/>
    </row>
    <row r="34" spans="1:22" ht="10.7" customHeight="1" x14ac:dyDescent="0.25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"/>
    </row>
    <row r="35" spans="1:22" ht="10.7" customHeight="1" x14ac:dyDescent="0.25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"/>
    </row>
    <row r="36" spans="1:22" ht="10.7" customHeight="1" x14ac:dyDescent="0.25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"/>
    </row>
    <row r="37" spans="1:22" ht="10.7" customHeight="1" x14ac:dyDescent="0.25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"/>
    </row>
    <row r="38" spans="1:22" ht="10.7" customHeight="1" x14ac:dyDescent="0.25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"/>
    </row>
    <row r="39" spans="1:22" ht="10.7" customHeight="1" x14ac:dyDescent="0.25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"/>
    </row>
    <row r="40" spans="1:22" ht="10.7" customHeight="1" x14ac:dyDescent="0.25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"/>
    </row>
    <row r="41" spans="1:22" ht="10.7" customHeight="1" x14ac:dyDescent="0.25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"/>
    </row>
    <row r="42" spans="1:22" ht="10.7" customHeight="1" x14ac:dyDescent="0.25">
      <c r="A42" s="2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workbookViewId="0">
      <selection activeCell="J21" sqref="J21"/>
    </sheetView>
  </sheetViews>
  <sheetFormatPr defaultRowHeight="15" x14ac:dyDescent="0.25"/>
  <cols>
    <col min="1" max="1" width="8.85546875" customWidth="1"/>
    <col min="2" max="2" width="12.140625" customWidth="1"/>
    <col min="4" max="4" width="10.85546875" customWidth="1"/>
    <col min="10" max="10" width="18" customWidth="1"/>
    <col min="12" max="12" width="12.28515625" customWidth="1"/>
  </cols>
  <sheetData>
    <row r="1" spans="2:13" ht="19.5" thickBot="1" x14ac:dyDescent="0.35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5" customHeight="1" x14ac:dyDescent="0.25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25">
      <c r="B3" t="s">
        <v>0</v>
      </c>
      <c r="C3" s="10">
        <v>1</v>
      </c>
      <c r="D3" s="21" t="s">
        <v>11</v>
      </c>
      <c r="E3" s="21"/>
      <c r="F3" s="21" t="s">
        <v>44</v>
      </c>
      <c r="G3" s="8">
        <v>273</v>
      </c>
      <c r="H3" s="21" t="s">
        <v>12</v>
      </c>
      <c r="J3" s="18"/>
      <c r="K3" t="s">
        <v>43</v>
      </c>
      <c r="M3">
        <v>3</v>
      </c>
    </row>
    <row r="4" spans="2:13" x14ac:dyDescent="0.25">
      <c r="B4" t="s">
        <v>1</v>
      </c>
      <c r="C4" s="10">
        <v>0.2</v>
      </c>
      <c r="D4" s="21" t="s">
        <v>11</v>
      </c>
      <c r="E4" s="21"/>
      <c r="F4" s="21" t="s">
        <v>45</v>
      </c>
      <c r="G4" s="8">
        <v>320</v>
      </c>
      <c r="H4" s="21" t="s">
        <v>12</v>
      </c>
      <c r="J4" s="13"/>
      <c r="K4" t="s">
        <v>46</v>
      </c>
      <c r="M4">
        <v>10</v>
      </c>
    </row>
    <row r="5" spans="2:13" x14ac:dyDescent="0.25">
      <c r="B5" s="14" t="s">
        <v>41</v>
      </c>
      <c r="C5" s="9">
        <f>C7/C6</f>
        <v>2</v>
      </c>
      <c r="D5" s="23"/>
      <c r="E5" s="21"/>
      <c r="F5" s="21" t="s">
        <v>29</v>
      </c>
      <c r="G5" s="8">
        <v>0.1</v>
      </c>
      <c r="H5" s="21" t="s">
        <v>13</v>
      </c>
      <c r="J5" s="3"/>
      <c r="K5" t="s">
        <v>22</v>
      </c>
      <c r="M5">
        <v>44</v>
      </c>
    </row>
    <row r="6" spans="2:13" x14ac:dyDescent="0.25">
      <c r="B6" t="s">
        <v>2</v>
      </c>
      <c r="C6" s="8">
        <v>20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25">
      <c r="B7" t="s">
        <v>3</v>
      </c>
      <c r="C7" s="8">
        <v>40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25">
      <c r="C8" s="24" t="b">
        <v>0</v>
      </c>
      <c r="D8" s="21"/>
      <c r="E8" s="21"/>
      <c r="F8" s="21"/>
      <c r="G8" s="21"/>
      <c r="H8" s="21"/>
    </row>
    <row r="9" spans="2:13" x14ac:dyDescent="0.25">
      <c r="C9" s="21"/>
      <c r="D9" s="21"/>
      <c r="E9" s="21"/>
      <c r="F9" s="21"/>
      <c r="G9" s="21"/>
      <c r="H9" s="21"/>
    </row>
    <row r="10" spans="2:13" x14ac:dyDescent="0.25">
      <c r="C10" s="21"/>
      <c r="D10" s="21"/>
      <c r="E10" s="21"/>
      <c r="F10" s="21"/>
      <c r="G10" s="21"/>
      <c r="H10" s="21"/>
    </row>
    <row r="11" spans="2:13" ht="19.5" thickBot="1" x14ac:dyDescent="0.35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25">
      <c r="C12" s="21"/>
      <c r="D12" s="21"/>
      <c r="E12" s="21"/>
      <c r="F12" s="21"/>
      <c r="G12" s="21"/>
      <c r="H12" s="21"/>
    </row>
    <row r="13" spans="2:13" x14ac:dyDescent="0.25">
      <c r="B13" t="s">
        <v>9</v>
      </c>
      <c r="C13" s="8">
        <v>100</v>
      </c>
      <c r="D13" s="21"/>
      <c r="E13" s="21"/>
      <c r="F13" s="25" t="s">
        <v>7</v>
      </c>
      <c r="G13" s="28" t="s">
        <v>8</v>
      </c>
      <c r="H13" s="28"/>
      <c r="J13" t="s">
        <v>30</v>
      </c>
      <c r="K13" s="17" t="s">
        <v>31</v>
      </c>
      <c r="L13" s="16"/>
    </row>
    <row r="14" spans="2:13" x14ac:dyDescent="0.25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25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25">
      <c r="B16" t="s">
        <v>16</v>
      </c>
      <c r="C16" s="8">
        <v>30</v>
      </c>
      <c r="D16" s="21"/>
      <c r="E16" s="21"/>
      <c r="F16" s="21" t="s">
        <v>5</v>
      </c>
      <c r="G16" s="8">
        <v>0.1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25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25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25">
      <c r="B19" t="s">
        <v>18</v>
      </c>
      <c r="C19" s="8">
        <v>1</v>
      </c>
      <c r="D19" s="21"/>
      <c r="E19" s="21"/>
      <c r="F19" s="23" t="s">
        <v>26</v>
      </c>
      <c r="G19" s="8">
        <v>0.1</v>
      </c>
      <c r="H19" s="23"/>
    </row>
    <row r="20" spans="2:12" x14ac:dyDescent="0.25">
      <c r="C20" s="21"/>
      <c r="D20" s="21"/>
      <c r="E20" s="21"/>
      <c r="F20" s="21"/>
      <c r="H20" s="21"/>
    </row>
    <row r="21" spans="2:12" x14ac:dyDescent="0.25">
      <c r="C21" s="21"/>
      <c r="D21" s="21"/>
      <c r="E21" s="21"/>
      <c r="F21" s="21"/>
      <c r="G21" s="21"/>
      <c r="H21" s="21"/>
    </row>
    <row r="22" spans="2:12" ht="19.5" thickBot="1" x14ac:dyDescent="0.35">
      <c r="B22" s="4" t="s">
        <v>48</v>
      </c>
      <c r="C22" s="19"/>
      <c r="D22" s="20"/>
      <c r="E22" s="20"/>
      <c r="F22" s="20"/>
      <c r="G22" s="20"/>
      <c r="H22" s="20"/>
    </row>
    <row r="23" spans="2:12" x14ac:dyDescent="0.25">
      <c r="C23" s="21"/>
      <c r="D23" s="21"/>
      <c r="E23" s="21"/>
      <c r="F23" s="21" t="s">
        <v>49</v>
      </c>
      <c r="G23" s="21"/>
      <c r="H23" s="21" t="s">
        <v>51</v>
      </c>
    </row>
    <row r="24" spans="2:12" x14ac:dyDescent="0.25">
      <c r="B24" t="s">
        <v>50</v>
      </c>
      <c r="C24" s="8" t="s">
        <v>56</v>
      </c>
      <c r="E24" t="s">
        <v>54</v>
      </c>
      <c r="F24" s="9">
        <f>0.25*C$27</f>
        <v>0.25</v>
      </c>
      <c r="H24" s="9">
        <f>F24+IF(C24="Square",C31,SQRT(C31^2 - (C31/2)^2))</f>
        <v>0.35</v>
      </c>
    </row>
    <row r="25" spans="2:12" x14ac:dyDescent="0.25">
      <c r="B25" t="s">
        <v>52</v>
      </c>
      <c r="C25" s="8">
        <v>1.5</v>
      </c>
      <c r="D25" t="s">
        <v>57</v>
      </c>
      <c r="E25" t="s">
        <v>55</v>
      </c>
      <c r="F25" s="9">
        <v>0</v>
      </c>
      <c r="G25" s="23"/>
      <c r="H25" s="9">
        <f>IF(C24="Square",F25,C31/2)</f>
        <v>0</v>
      </c>
    </row>
    <row r="26" spans="2:12" x14ac:dyDescent="0.25">
      <c r="F26" s="26"/>
      <c r="G26" s="26"/>
      <c r="H26" s="26"/>
    </row>
    <row r="27" spans="2:12" x14ac:dyDescent="0.25">
      <c r="B27" t="s">
        <v>0</v>
      </c>
      <c r="C27" s="27">
        <f>C3</f>
        <v>1</v>
      </c>
      <c r="D27" t="s">
        <v>11</v>
      </c>
      <c r="E27" t="s">
        <v>54</v>
      </c>
      <c r="F27" s="9">
        <f>0.25*C$27</f>
        <v>0.25</v>
      </c>
      <c r="H27" s="9">
        <f>H24</f>
        <v>0.35</v>
      </c>
    </row>
    <row r="28" spans="2:12" x14ac:dyDescent="0.25">
      <c r="B28" t="s">
        <v>1</v>
      </c>
      <c r="C28" s="27">
        <f>C4</f>
        <v>0.2</v>
      </c>
      <c r="D28" t="s">
        <v>11</v>
      </c>
      <c r="E28" t="s">
        <v>55</v>
      </c>
      <c r="F28" s="9">
        <f>C31</f>
        <v>0.1</v>
      </c>
      <c r="H28" s="9">
        <f>H25+C31</f>
        <v>0.1</v>
      </c>
    </row>
    <row r="30" spans="2:12" x14ac:dyDescent="0.25">
      <c r="B30" t="s">
        <v>53</v>
      </c>
      <c r="C30" s="9">
        <f>C31/C25</f>
        <v>6.6666666666666666E-2</v>
      </c>
      <c r="D30" t="s">
        <v>11</v>
      </c>
      <c r="E30" t="s">
        <v>54</v>
      </c>
      <c r="F30" s="9">
        <f>0.25*C$27</f>
        <v>0.25</v>
      </c>
      <c r="H30" s="9">
        <f>IF(C24="Square",F30+C$31,"None")</f>
        <v>0.35</v>
      </c>
    </row>
    <row r="31" spans="2:12" x14ac:dyDescent="0.25">
      <c r="B31" t="s">
        <v>52</v>
      </c>
      <c r="C31" s="9">
        <f>C28/2</f>
        <v>0.1</v>
      </c>
      <c r="D31" t="s">
        <v>11</v>
      </c>
      <c r="E31" t="s">
        <v>55</v>
      </c>
      <c r="F31" s="9">
        <f>C28</f>
        <v>0.2</v>
      </c>
      <c r="H31" s="9">
        <f>IF(C24="Square",F31,"None")</f>
        <v>0.2</v>
      </c>
    </row>
    <row r="33" spans="2:4" x14ac:dyDescent="0.25">
      <c r="B33" t="s">
        <v>58</v>
      </c>
      <c r="C33" s="8">
        <f>C3/C6</f>
        <v>0.05</v>
      </c>
      <c r="D33" t="s">
        <v>60</v>
      </c>
    </row>
    <row r="34" spans="2:4" x14ac:dyDescent="0.25">
      <c r="B34" t="s">
        <v>59</v>
      </c>
      <c r="C34" s="8">
        <f>C4/C7</f>
        <v>5.0000000000000001E-3</v>
      </c>
      <c r="D34" t="s">
        <v>60</v>
      </c>
    </row>
  </sheetData>
  <mergeCells count="1">
    <mergeCell ref="G13:H13"/>
  </mergeCells>
  <dataValidations disablePrompts="1"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428625</xdr:colOff>
                    <xdr:row>7</xdr:row>
                    <xdr:rowOff>0</xdr:rowOff>
                  </from>
                  <to>
                    <xdr:col>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19050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171450</xdr:colOff>
                    <xdr:row>21</xdr:row>
                    <xdr:rowOff>0</xdr:rowOff>
                  </from>
                  <to>
                    <xdr:col>7</xdr:col>
                    <xdr:colOff>133350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G19" sqref="G19"/>
    </sheetView>
  </sheetViews>
  <sheetFormatPr defaultRowHeight="15" x14ac:dyDescent="0.25"/>
  <cols>
    <col min="1" max="1" width="17.7109375" customWidth="1"/>
  </cols>
  <sheetData>
    <row r="1" spans="1:3" ht="19.5" thickBot="1" x14ac:dyDescent="0.35">
      <c r="A1" s="4" t="s">
        <v>27</v>
      </c>
      <c r="B1" s="5"/>
      <c r="C1" s="5"/>
    </row>
    <row r="3" spans="1:3" x14ac:dyDescent="0.25">
      <c r="A3" t="s">
        <v>30</v>
      </c>
      <c r="B3" t="s">
        <v>31</v>
      </c>
      <c r="C3" t="s">
        <v>32</v>
      </c>
    </row>
    <row r="4" spans="1:3" x14ac:dyDescent="0.25">
      <c r="A4" t="s">
        <v>33</v>
      </c>
      <c r="B4">
        <v>1</v>
      </c>
      <c r="C4">
        <v>1000</v>
      </c>
    </row>
    <row r="5" spans="1:3" x14ac:dyDescent="0.25">
      <c r="A5" t="s">
        <v>34</v>
      </c>
      <c r="B5" s="15">
        <v>2.0000000000000002E-5</v>
      </c>
      <c r="C5" s="15">
        <v>1E-3</v>
      </c>
    </row>
    <row r="6" spans="1:3" x14ac:dyDescent="0.25">
      <c r="A6" t="s">
        <v>37</v>
      </c>
      <c r="B6">
        <v>1013</v>
      </c>
      <c r="C6">
        <v>4200</v>
      </c>
    </row>
    <row r="7" spans="1:3" x14ac:dyDescent="0.25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2018-04-12T12:25:11Z</dcterms:modified>
</cp:coreProperties>
</file>