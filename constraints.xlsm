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1925" windowHeight="10125" activeTab="1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K26" i="2" s="1"/>
  <c r="C34" i="2" l="1"/>
  <c r="C33" i="2"/>
  <c r="C28" i="2"/>
  <c r="C31" i="2" s="1"/>
  <c r="F28" i="2" s="1"/>
  <c r="C27" i="2"/>
  <c r="F27" i="2" l="1"/>
  <c r="F24" i="2"/>
  <c r="H24" i="2" s="1"/>
  <c r="F31" i="2"/>
  <c r="H31" i="2" s="1"/>
  <c r="F30" i="2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<sst xmlns="http://schemas.openxmlformats.org/spreadsheetml/2006/main" count="85" uniqueCount="64">
  <si>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</si>
  <si>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</si>
  <si>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</si>
  <si>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</si>
  <si>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</si>
  <si>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</si>
  <si>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</si>
  <si>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</si>
  <si>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</si>
  <si>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</si>
  <si>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</si>
  <si>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</si>
  <si>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</si>
  <si>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</si>
  <si>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</si>
  <si>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</si>
  <si>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</si>
  <si>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</si>
  <si>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</si>
  <si>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</si>
  <si>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</si>
  <si>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</si>
  <si>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</si>
  <si>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</si>
  <si>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</si>
  <si>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</si>
  <si>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</si>
  <si>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</si>
  <si>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</si>
  <si>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</si>
  <si>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</si>
  <si>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</si>
  <si>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</si>
  <si>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</si>
  <si>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</si>
  <si>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</si>
  <si>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</si>
  <si>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</si>
  <si>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</si>
  <si>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</si>
  <si>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</si>
  <si>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</si>
  <si>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</si>
  <si>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</si>
  <si>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</si>
  <si>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</si>
  <si>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</si>
  <si>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</si>
  <si>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</si>
  <si>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</si>
  <si>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</si>
  <si>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</si>
  <si>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</si>
  <si>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</si>
  <si>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</si>
  <si>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</si>
  <si>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</si>
  <si>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</si>
  <si>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</si>
  <si>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</si>
  <si>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</si>
  <si>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</si>
  <si>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Triangular</t>
  </si>
  <si>
    <t>Quarant kental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</si>
</sst>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4" fillId="0" borderId="0" xfId="0" applyFont="1"/>
    <xf numFmtId="0" fontId="0" fillId="11" borderId="0" xfId="0" applyFill="1"/>
    <xf numFmtId="0" fontId="0" fillId="12" borderId="1" xfId="0" applyFill="1" applyBorder="1"/>
    <xf numFmtId="0" fontId="7" fillId="0" borderId="0" xfId="0" applyFont="1"/>
    <xf numFmtId="2" fontId="0" fillId="0" borderId="0" xfId="0" applyNumberForma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22</xdr:row>
          <xdr:rowOff>0</xdr:rowOff>
        </xdr:from>
        <xdr:to>
          <xdr:col>9</xdr:col>
          <xdr:colOff>962025</xdr:colOff>
          <xdr:row>23</xdr:row>
          <xdr:rowOff>19050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L34"/>
  <sheetViews>
    <sheetView zoomScale="67" zoomScaleNormal="67" workbookViewId="0">
      <selection activeCell="BK25" sqref="BK25:BL26"/>
    </sheetView>
  </sheetViews>
  <sheetFormatPr defaultRowHeight="15" x14ac:dyDescent="0.25"/>
  <cols>
    <col min="1" max="194" width="1.7109375" customWidth="1"/>
  </cols>
  <sheetData>
    <row r="1" spans="1:194" ht="5.0999999999999996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2"/>
    </row>
    <row r="2" spans="1:194" ht="5.0999999999999996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7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7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2"/>
    </row>
    <row r="3" spans="1:194" ht="5.0999999999999996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7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7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2"/>
    </row>
    <row r="4" spans="1:194" ht="5.0999999999999996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1"/>
      <c r="AT4" s="30"/>
      <c r="AU4" s="30"/>
      <c r="AV4" s="30"/>
      <c r="AW4" s="30"/>
      <c r="AX4" s="30"/>
      <c r="AY4" s="30"/>
      <c r="AZ4" s="30"/>
      <c r="BA4" s="30"/>
      <c r="BB4" s="11"/>
      <c r="BC4" s="1"/>
      <c r="BD4" s="1"/>
      <c r="BE4" s="1"/>
      <c r="BF4" s="1"/>
      <c r="BG4" s="1"/>
      <c r="BH4" s="1"/>
      <c r="BI4" s="1"/>
      <c r="BJ4" s="3"/>
      <c r="BK4" s="3"/>
      <c r="BL4" s="3"/>
      <c r="BM4" s="3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2"/>
    </row>
    <row r="5" spans="1:194" ht="5.0999999999999996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1"/>
      <c r="AU5" s="30"/>
      <c r="AV5" s="30"/>
      <c r="AW5" s="30"/>
      <c r="AX5" s="30"/>
      <c r="AY5" s="30"/>
      <c r="AZ5" s="30"/>
      <c r="BA5" s="11"/>
      <c r="BB5" s="1"/>
      <c r="BC5" s="1"/>
      <c r="BD5" s="1"/>
      <c r="BE5" s="1"/>
      <c r="BF5" s="1"/>
      <c r="BG5" s="1"/>
      <c r="BH5" s="1"/>
      <c r="BI5" s="11"/>
      <c r="BJ5" s="30"/>
      <c r="BK5" s="30"/>
      <c r="BL5" s="30"/>
      <c r="BM5" s="30"/>
      <c r="BN5" s="1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2"/>
    </row>
    <row r="6" spans="1:194" ht="5.0999999999999996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1"/>
      <c r="AV6" s="30"/>
      <c r="AW6" s="30"/>
      <c r="AX6" s="30"/>
      <c r="AY6" s="30"/>
      <c r="AZ6" s="11"/>
      <c r="BA6" s="1"/>
      <c r="BB6" s="1"/>
      <c r="BC6" s="1"/>
      <c r="BD6" s="1"/>
      <c r="BE6" s="1"/>
      <c r="BF6" s="1"/>
      <c r="BG6" s="1"/>
      <c r="BH6" s="11"/>
      <c r="BI6" s="30"/>
      <c r="BJ6" s="30"/>
      <c r="BK6" s="30"/>
      <c r="BL6" s="30"/>
      <c r="BM6" s="30"/>
      <c r="BN6" s="30"/>
      <c r="BO6" s="1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2"/>
    </row>
    <row r="7" spans="1:194" ht="5.0999999999999996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3"/>
      <c r="AW7" s="3"/>
      <c r="AX7" s="3"/>
      <c r="AY7" s="3"/>
      <c r="AZ7" s="1"/>
      <c r="BA7" s="1"/>
      <c r="BB7" s="1"/>
      <c r="BC7" s="1"/>
      <c r="BD7" s="1"/>
      <c r="BE7" s="1"/>
      <c r="BF7" s="1"/>
      <c r="BG7" s="11"/>
      <c r="BH7" s="30"/>
      <c r="BI7" s="30"/>
      <c r="BJ7" s="30"/>
      <c r="BK7" s="30"/>
      <c r="BL7" s="30"/>
      <c r="BM7" s="30"/>
      <c r="BN7" s="30"/>
      <c r="BO7" s="30"/>
      <c r="BP7" s="1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2"/>
    </row>
    <row r="8" spans="1:194" ht="5.0999999999999996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7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7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2"/>
    </row>
    <row r="9" spans="1:194" ht="5.0999999999999996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7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7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2"/>
    </row>
    <row r="10" spans="1:194" ht="5.0999999999999996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7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7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2"/>
    </row>
    <row r="11" spans="1:194" ht="5.0999999999999996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7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7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2"/>
    </row>
    <row r="12" spans="1:194" ht="5.0999999999999996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3"/>
      <c r="AX12" s="3"/>
      <c r="AY12" s="3"/>
      <c r="AZ12" s="1"/>
      <c r="BA12" s="1"/>
      <c r="BB12" s="1"/>
      <c r="BC12" s="1"/>
      <c r="BD12" s="1"/>
      <c r="BE12" s="1"/>
      <c r="BF12" s="1"/>
      <c r="BG12" s="11"/>
      <c r="BH12" s="30"/>
      <c r="BI12" s="30"/>
      <c r="BJ12" s="30"/>
      <c r="BK12" s="30"/>
      <c r="BL12" s="30"/>
      <c r="BM12" s="30"/>
      <c r="BN12" s="30"/>
      <c r="BO12" s="30"/>
      <c r="BP12" s="1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2"/>
    </row>
    <row r="13" spans="1:194" ht="5.0999999999999996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1"/>
      <c r="AV13" s="30"/>
      <c r="AW13" s="30"/>
      <c r="AX13" s="30"/>
      <c r="AY13" s="30"/>
      <c r="AZ13" s="11"/>
      <c r="BA13" s="1"/>
      <c r="BB13" s="1"/>
      <c r="BC13" s="1"/>
      <c r="BD13" s="1"/>
      <c r="BE13" s="1"/>
      <c r="BF13" s="1"/>
      <c r="BG13" s="1"/>
      <c r="BH13" s="11"/>
      <c r="BI13" s="30"/>
      <c r="BJ13" s="30"/>
      <c r="BK13" s="30"/>
      <c r="BL13" s="30"/>
      <c r="BM13" s="30"/>
      <c r="BN13" s="30"/>
      <c r="BO13" s="1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2"/>
    </row>
    <row r="14" spans="1:194" ht="5.0999999999999996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1"/>
      <c r="AU14" s="30"/>
      <c r="AV14" s="30"/>
      <c r="AW14" s="30"/>
      <c r="AX14" s="30"/>
      <c r="AY14" s="30"/>
      <c r="AZ14" s="30"/>
      <c r="BA14" s="11"/>
      <c r="BB14" s="1"/>
      <c r="BC14" s="1"/>
      <c r="BD14" s="1"/>
      <c r="BE14" s="1"/>
      <c r="BF14" s="1"/>
      <c r="BG14" s="1"/>
      <c r="BH14" s="1"/>
      <c r="BI14" s="11"/>
      <c r="BJ14" s="30"/>
      <c r="BK14" s="30"/>
      <c r="BL14" s="30"/>
      <c r="BM14" s="30"/>
      <c r="BN14" s="1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2"/>
    </row>
    <row r="15" spans="1:194" ht="5.0999999999999996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1"/>
      <c r="AT15" s="30"/>
      <c r="AU15" s="30"/>
      <c r="AV15" s="30"/>
      <c r="AW15" s="30"/>
      <c r="AX15" s="30"/>
      <c r="AY15" s="30"/>
      <c r="AZ15" s="30"/>
      <c r="BA15" s="30"/>
      <c r="BB15" s="11"/>
      <c r="BC15" s="1"/>
      <c r="BD15" s="1"/>
      <c r="BE15" s="1"/>
      <c r="BF15" s="1"/>
      <c r="BG15" s="1"/>
      <c r="BH15" s="1"/>
      <c r="BI15" s="1"/>
      <c r="BJ15" s="3"/>
      <c r="BK15" s="3"/>
      <c r="BL15" s="3"/>
      <c r="BM15" s="3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2"/>
    </row>
    <row r="16" spans="1:194" ht="5.0999999999999996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7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7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2"/>
    </row>
    <row r="17" spans="1:194" ht="5.0999999999999996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7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7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2"/>
    </row>
    <row r="18" spans="1:194" ht="5.0999999999999996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7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7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2"/>
    </row>
    <row r="19" spans="1:194" ht="5.0999999999999996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7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7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2"/>
    </row>
    <row r="20" spans="1:194" ht="5.0999999999999996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1"/>
      <c r="AT20" s="30"/>
      <c r="AU20" s="30"/>
      <c r="AV20" s="30"/>
      <c r="AW20" s="30"/>
      <c r="AX20" s="30"/>
      <c r="AY20" s="30"/>
      <c r="AZ20" s="30"/>
      <c r="BA20" s="30"/>
      <c r="BB20" s="11"/>
      <c r="BC20" s="1"/>
      <c r="BD20" s="1"/>
      <c r="BE20" s="1"/>
      <c r="BF20" s="1"/>
      <c r="BG20" s="1"/>
      <c r="BH20" s="1"/>
      <c r="BI20" s="1"/>
      <c r="BJ20" s="3"/>
      <c r="BK20" s="3"/>
      <c r="BL20" s="3"/>
      <c r="BM20" s="3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2"/>
    </row>
    <row r="21" spans="1:194" ht="5.0999999999999996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1"/>
      <c r="AU21" s="30"/>
      <c r="AV21" s="30"/>
      <c r="AW21" s="30"/>
      <c r="AX21" s="30"/>
      <c r="AY21" s="30"/>
      <c r="AZ21" s="30"/>
      <c r="BA21" s="11"/>
      <c r="BB21" s="1"/>
      <c r="BC21" s="1"/>
      <c r="BD21" s="1"/>
      <c r="BE21" s="1"/>
      <c r="BF21" s="1"/>
      <c r="BG21" s="1"/>
      <c r="BH21" s="1"/>
      <c r="BI21" s="11"/>
      <c r="BJ21" s="30"/>
      <c r="BK21" s="30"/>
      <c r="BL21" s="30"/>
      <c r="BM21" s="30"/>
      <c r="BN21" s="1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2"/>
    </row>
    <row r="22" spans="1:194" ht="5.0999999999999996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1"/>
      <c r="AV22" s="30"/>
      <c r="AW22" s="30"/>
      <c r="AX22" s="30"/>
      <c r="AY22" s="30"/>
      <c r="AZ22" s="11"/>
      <c r="BA22" s="1"/>
      <c r="BB22" s="1"/>
      <c r="BC22" s="1"/>
      <c r="BD22" s="1"/>
      <c r="BE22" s="1"/>
      <c r="BF22" s="1"/>
      <c r="BG22" s="1"/>
      <c r="BH22" s="11"/>
      <c r="BI22" s="30"/>
      <c r="BJ22" s="30"/>
      <c r="BK22" s="30"/>
      <c r="BL22" s="30"/>
      <c r="BM22" s="30"/>
      <c r="BN22" s="30"/>
      <c r="BO22" s="1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2"/>
    </row>
    <row r="23" spans="1:194" ht="5.0999999999999996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3"/>
      <c r="AW23" s="3"/>
      <c r="AX23" s="3"/>
      <c r="AY23" s="3"/>
      <c r="AZ23" s="1"/>
      <c r="BA23" s="1"/>
      <c r="BB23" s="1"/>
      <c r="BC23" s="1"/>
      <c r="BD23" s="1"/>
      <c r="BE23" s="1"/>
      <c r="BF23" s="1"/>
      <c r="BG23" s="11"/>
      <c r="BH23" s="30"/>
      <c r="BI23" s="30"/>
      <c r="BJ23" s="30"/>
      <c r="BK23" s="30"/>
      <c r="BL23" s="30"/>
      <c r="BM23" s="30"/>
      <c r="BN23" s="30"/>
      <c r="BO23" s="30"/>
      <c r="BP23" s="1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2"/>
    </row>
    <row r="24" spans="1:194" ht="5.0999999999999996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7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7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2"/>
    </row>
    <row r="25" spans="1:194" ht="5.0999999999999996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7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7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2"/>
    </row>
    <row r="26" spans="1:194" ht="5.0999999999999996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7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7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2"/>
    </row>
    <row r="27" spans="1:194" ht="5.0999999999999996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7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7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2"/>
    </row>
    <row r="28" spans="1:194" ht="5.0999999999999996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3"/>
      <c r="AW28" s="3"/>
      <c r="AX28" s="3"/>
      <c r="AY28" s="3"/>
      <c r="AZ28" s="1"/>
      <c r="BA28" s="1"/>
      <c r="BB28" s="1"/>
      <c r="BC28" s="1"/>
      <c r="BD28" s="1"/>
      <c r="BE28" s="1"/>
      <c r="BF28" s="1"/>
      <c r="BG28" s="11"/>
      <c r="BH28" s="30"/>
      <c r="BI28" s="30"/>
      <c r="BJ28" s="30"/>
      <c r="BK28" s="30"/>
      <c r="BL28" s="30"/>
      <c r="BM28" s="30"/>
      <c r="BN28" s="30"/>
      <c r="BO28" s="30"/>
      <c r="BP28" s="1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2"/>
    </row>
    <row r="29" spans="1:194" ht="5.0999999999999996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1"/>
      <c r="AV29" s="30"/>
      <c r="AW29" s="30"/>
      <c r="AX29" s="30"/>
      <c r="AY29" s="30"/>
      <c r="AZ29" s="11"/>
      <c r="BA29" s="1"/>
      <c r="BB29" s="1"/>
      <c r="BC29" s="1"/>
      <c r="BD29" s="1"/>
      <c r="BE29" s="1"/>
      <c r="BF29" s="1"/>
      <c r="BG29" s="1"/>
      <c r="BH29" s="11"/>
      <c r="BI29" s="30"/>
      <c r="BJ29" s="30"/>
      <c r="BK29" s="30"/>
      <c r="BL29" s="30"/>
      <c r="BM29" s="30"/>
      <c r="BN29" s="30"/>
      <c r="BO29" s="1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2"/>
    </row>
    <row r="30" spans="1:194" ht="5.0999999999999996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1"/>
      <c r="AU30" s="30"/>
      <c r="AV30" s="30"/>
      <c r="AW30" s="30"/>
      <c r="AX30" s="30"/>
      <c r="AY30" s="30"/>
      <c r="AZ30" s="30"/>
      <c r="BA30" s="11"/>
      <c r="BB30" s="1"/>
      <c r="BC30" s="1"/>
      <c r="BD30" s="1"/>
      <c r="BE30" s="1"/>
      <c r="BF30" s="1"/>
      <c r="BG30" s="1"/>
      <c r="BH30" s="1"/>
      <c r="BI30" s="11"/>
      <c r="BJ30" s="30"/>
      <c r="BK30" s="30"/>
      <c r="BL30" s="30"/>
      <c r="BM30" s="30"/>
      <c r="BN30" s="1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2"/>
    </row>
    <row r="31" spans="1:194" ht="5.0999999999999996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1"/>
      <c r="AT31" s="30"/>
      <c r="AU31" s="30"/>
      <c r="AV31" s="30"/>
      <c r="AW31" s="30"/>
      <c r="AX31" s="30"/>
      <c r="AY31" s="30"/>
      <c r="AZ31" s="30"/>
      <c r="BA31" s="30"/>
      <c r="BB31" s="11"/>
      <c r="BC31" s="1"/>
      <c r="BD31" s="1"/>
      <c r="BE31" s="1"/>
      <c r="BF31" s="1"/>
      <c r="BG31" s="1"/>
      <c r="BH31" s="1"/>
      <c r="BI31" s="1"/>
      <c r="BJ31" s="3"/>
      <c r="BK31" s="3"/>
      <c r="BL31" s="3"/>
      <c r="BM31" s="3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2"/>
    </row>
    <row r="32" spans="1:194" ht="5.0999999999999996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7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7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2"/>
    </row>
    <row r="33" spans="1:194" ht="5.0999999999999996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7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7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2"/>
    </row>
    <row r="34" spans="1:194" ht="5.0999999999999996" customHeight="1" x14ac:dyDescent="0.25">
      <c r="A34" s="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I10" sqref="I10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ht="14.45" x14ac:dyDescent="0.3">
      <c r="B3" t="s">
        <v>0</v>
      </c>
      <c r="C3" s="10">
        <v>1.2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ht="14.45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ht="14.45" x14ac:dyDescent="0.3">
      <c r="B5" s="14" t="s">
        <v>41</v>
      </c>
      <c r="C5" s="9">
        <f>C7/C6</f>
        <v>0.16666666666666669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ht="14.45" x14ac:dyDescent="0.3">
      <c r="B6" t="s">
        <v>2</v>
      </c>
      <c r="C6" s="8">
        <f>C3/C4*C7</f>
        <v>191.99999999999997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ht="14.45" x14ac:dyDescent="0.3">
      <c r="B7" t="s">
        <v>3</v>
      </c>
      <c r="C7" s="8">
        <v>32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ht="14.45" x14ac:dyDescent="0.3">
      <c r="C8" s="24" t="b">
        <v>0</v>
      </c>
      <c r="D8" s="21"/>
      <c r="E8" s="21"/>
      <c r="F8" s="21"/>
      <c r="G8" s="21"/>
      <c r="H8" s="21"/>
    </row>
    <row r="9" spans="2:13" ht="14.45" x14ac:dyDescent="0.3">
      <c r="C9" s="21"/>
      <c r="D9" s="21"/>
      <c r="E9" s="21"/>
      <c r="F9" s="21"/>
      <c r="G9" s="21"/>
      <c r="H9" s="21"/>
    </row>
    <row r="10" spans="2:13" ht="14.45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ht="14.45" x14ac:dyDescent="0.3">
      <c r="C12" s="21"/>
      <c r="D12" s="21"/>
      <c r="E12" s="21"/>
      <c r="F12" s="21"/>
      <c r="G12" s="21"/>
      <c r="H12" s="21"/>
    </row>
    <row r="13" spans="2:13" ht="14.45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ht="14.45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ht="14.45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ht="14.45" x14ac:dyDescent="0.3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ht="14.45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ht="14.45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ht="14.45" x14ac:dyDescent="0.3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ht="14.45" x14ac:dyDescent="0.3">
      <c r="C20" s="21"/>
      <c r="D20" s="21"/>
      <c r="E20" s="21"/>
      <c r="F20" s="23" t="s">
        <v>60</v>
      </c>
      <c r="G20" s="8">
        <v>5</v>
      </c>
      <c r="H20" s="21"/>
    </row>
    <row r="21" spans="2:12" ht="14.45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ht="14.45" x14ac:dyDescent="0.3">
      <c r="C23" s="21"/>
      <c r="D23" s="21"/>
      <c r="E23" s="21"/>
      <c r="F23" s="21" t="s">
        <v>49</v>
      </c>
      <c r="G23" s="21"/>
      <c r="H23" s="21" t="s">
        <v>51</v>
      </c>
      <c r="K23" s="29" t="b">
        <v>0</v>
      </c>
    </row>
    <row r="24" spans="2:12" ht="14.45" x14ac:dyDescent="0.3">
      <c r="B24" t="s">
        <v>50</v>
      </c>
      <c r="C24" s="8" t="s">
        <v>62</v>
      </c>
      <c r="E24" t="s">
        <v>54</v>
      </c>
      <c r="F24" s="9">
        <f>0.25*C$27</f>
        <v>0.3</v>
      </c>
      <c r="H24" s="9">
        <f>F24+IF(C24="Square",C31,SQRT(C31^2 - (C31/2)^2))</f>
        <v>0.38660254037844388</v>
      </c>
      <c r="J24" s="28" t="b">
        <v>0</v>
      </c>
      <c r="L24" s="16"/>
    </row>
    <row r="25" spans="2:12" ht="14.45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0.05</v>
      </c>
      <c r="K25" s="15"/>
    </row>
    <row r="26" spans="2:12" x14ac:dyDescent="0.25">
      <c r="F26" s="26"/>
      <c r="G26" s="26"/>
      <c r="H26" s="26"/>
      <c r="J26" t="s">
        <v>63</v>
      </c>
      <c r="K26" s="32">
        <f>G19*G5/(C3/C6)</f>
        <v>0.16</v>
      </c>
    </row>
    <row r="27" spans="2:12" ht="14.45" customHeight="1" x14ac:dyDescent="0.25">
      <c r="B27" t="s">
        <v>0</v>
      </c>
      <c r="C27" s="27">
        <f>C3</f>
        <v>1.2</v>
      </c>
      <c r="D27" t="s">
        <v>11</v>
      </c>
      <c r="E27" t="s">
        <v>54</v>
      </c>
      <c r="F27" s="9">
        <f>0.25*C$27</f>
        <v>0.3</v>
      </c>
      <c r="H27" s="9">
        <f>H24</f>
        <v>0.38660254037844388</v>
      </c>
      <c r="K27" s="31"/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0.15000000000000002</v>
      </c>
    </row>
    <row r="30" spans="2:12" x14ac:dyDescent="0.25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0.3</v>
      </c>
      <c r="H30" s="9" t="str">
        <f>IF(C24="Square",F30+C$31,"None")</f>
        <v>None</v>
      </c>
    </row>
    <row r="31" spans="2:12" x14ac:dyDescent="0.25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 t="str">
        <f>IF(C24="Square",F31,"None")</f>
        <v>None</v>
      </c>
    </row>
    <row r="33" spans="2:4" x14ac:dyDescent="0.25">
      <c r="B33" t="s">
        <v>57</v>
      </c>
      <c r="C33" s="8">
        <f>C3/C6</f>
        <v>6.2500000000000003E-3</v>
      </c>
      <c r="D33" t="s">
        <v>59</v>
      </c>
    </row>
    <row r="34" spans="2:4" x14ac:dyDescent="0.25">
      <c r="B34" t="s">
        <v>58</v>
      </c>
      <c r="C34" s="8">
        <f>C4/C7</f>
        <v>6.2500000000000003E-3</v>
      </c>
      <c r="D34" t="s">
        <v>59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95250</xdr:colOff>
                    <xdr:row>22</xdr:row>
                    <xdr:rowOff>0</xdr:rowOff>
                  </from>
                  <to>
                    <xdr:col>9</xdr:col>
                    <xdr:colOff>962025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27</v>
      </c>
      <c r="B1" s="5"/>
      <c r="C1" s="5"/>
    </row>
    <row r="3" spans="1:3" ht="14.45" x14ac:dyDescent="0.3">
      <c r="A3" t="s">
        <v>30</v>
      </c>
      <c r="B3" t="s">
        <v>31</v>
      </c>
      <c r="C3" t="s">
        <v>32</v>
      </c>
    </row>
    <row r="4" spans="1:3" ht="14.45" x14ac:dyDescent="0.3">
      <c r="A4" t="s">
        <v>33</v>
      </c>
      <c r="B4">
        <v>1</v>
      </c>
      <c r="C4">
        <v>1000</v>
      </c>
    </row>
    <row r="5" spans="1:3" ht="14.45" x14ac:dyDescent="0.3">
      <c r="A5" t="s">
        <v>34</v>
      </c>
      <c r="B5" s="15">
        <v>2.0000000000000002E-5</v>
      </c>
      <c r="C5" s="15">
        <v>1E-3</v>
      </c>
    </row>
    <row r="6" spans="1:3" ht="14.45" x14ac:dyDescent="0.3">
      <c r="A6" t="s">
        <v>37</v>
      </c>
      <c r="B6">
        <v>1013</v>
      </c>
      <c r="C6">
        <v>4200</v>
      </c>
    </row>
    <row r="7" spans="1:3" ht="14.45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2018-04-14T10:05:48Z</dcterms:modified>
</cp:coreProperties>
</file>