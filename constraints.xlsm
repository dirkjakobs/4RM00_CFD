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60" windowWidth="11925" windowHeight="10065"/>
  </bookViews>
  <sheets>
    <sheet name="Constraints" sheetId="1" r:id="rId1"/>
    <sheet name="Grid settings" sheetId="2" r:id="rId2"/>
    <sheet name="Fluid properties" sheetId="3" r:id="rId3"/>
  </sheets>
  <calcPr calcId="145621"/>
</workbook>
</file>

<file path=xl/calcChain.xml><?xml version="1.0" encoding="utf-8"?>
<calcChain xmlns="http://schemas.openxmlformats.org/spreadsheetml/2006/main">
  <c r="C6" i="2" l="1"/>
  <c r="K26" i="2" s="1"/>
  <c r="C34" i="2" l="1"/>
  <c r="C33" i="2"/>
  <c r="C28" i="2"/>
  <c r="C31" i="2" s="1"/>
  <c r="F28" i="2" s="1"/>
  <c r="C27" i="2"/>
  <c r="F27" i="2" l="1"/>
  <c r="F24" i="2"/>
  <c r="H24" i="2" s="1"/>
  <c r="F31" i="2"/>
  <c r="H31" i="2" s="1"/>
  <c r="F30" i="2"/>
  <c r="H25" i="2"/>
  <c r="C5" i="2" l="1"/>
  <c r="K17" i="2" l="1"/>
  <c r="K16" i="2"/>
  <c r="K15" i="2"/>
  <c r="K14" i="2"/>
  <c r="H30" i="2"/>
  <c r="H28" i="2"/>
  <c r="C30" i="2"/>
  <c r="H27" i="2" l="1"/>
</calcChain>
</file>

<file path=xl/sharedStrings.xml><?xml version="1.0" encoding="utf-8"?>
<sst xmlns="http://schemas.openxmlformats.org/spreadsheetml/2006/main" count="85" uniqueCount="64">
  <si>
    <t>XMAX</t>
  </si>
  <si>
    <t>YMAX</t>
  </si>
  <si>
    <t>NPI</t>
  </si>
  <si>
    <t>NPJ</t>
  </si>
  <si>
    <t>Grid Settings</t>
  </si>
  <si>
    <t>relax_u</t>
  </si>
  <si>
    <t>relax_T</t>
  </si>
  <si>
    <t>solver</t>
  </si>
  <si>
    <t>solve</t>
  </si>
  <si>
    <t>MAX_ITER</t>
  </si>
  <si>
    <t>Temperature and Velocity</t>
  </si>
  <si>
    <t>[m]</t>
  </si>
  <si>
    <t>[K]</t>
  </si>
  <si>
    <t>[m/s]</t>
  </si>
  <si>
    <t>U_ITER</t>
  </si>
  <si>
    <t>V_ITER</t>
  </si>
  <si>
    <t>PC_ITER</t>
  </si>
  <si>
    <t>EPS_ITER</t>
  </si>
  <si>
    <t>K_ITER</t>
  </si>
  <si>
    <t>Relaxation and Iteration</t>
  </si>
  <si>
    <t>T_ITER</t>
  </si>
  <si>
    <t>Legend</t>
  </si>
  <si>
    <t>yplus in u direction</t>
  </si>
  <si>
    <t>yplus in v direction</t>
  </si>
  <si>
    <t>yplus in both directions</t>
  </si>
  <si>
    <t>Gamma</t>
  </si>
  <si>
    <t>Dt</t>
  </si>
  <si>
    <t>Fluid properties</t>
  </si>
  <si>
    <t>Solver</t>
  </si>
  <si>
    <t>U_IN</t>
  </si>
  <si>
    <t>Fluid</t>
  </si>
  <si>
    <t>Air</t>
  </si>
  <si>
    <t>Water</t>
  </si>
  <si>
    <t>density</t>
  </si>
  <si>
    <t>viscosity</t>
  </si>
  <si>
    <t>Thermal conductivity</t>
  </si>
  <si>
    <t>[J/kg/K]</t>
  </si>
  <si>
    <t>Specific heat</t>
  </si>
  <si>
    <t>[kg/m^3]</t>
  </si>
  <si>
    <t>[Pa*s]</t>
  </si>
  <si>
    <t>[W/m/K]</t>
  </si>
  <si>
    <t>NPJ / NPI</t>
  </si>
  <si>
    <t>both u, v fixed, adiabatic</t>
  </si>
  <si>
    <t>both u, v fixed, T is T</t>
  </si>
  <si>
    <t>T0</t>
  </si>
  <si>
    <t>T objects</t>
  </si>
  <si>
    <t>Full slip wall</t>
  </si>
  <si>
    <t xml:space="preserve"> </t>
  </si>
  <si>
    <t>HE Layout</t>
  </si>
  <si>
    <t>Row 1</t>
  </si>
  <si>
    <t>Layout</t>
  </si>
  <si>
    <t>Row 2</t>
  </si>
  <si>
    <t>pitch</t>
  </si>
  <si>
    <t>tube diam (D)</t>
  </si>
  <si>
    <t>x</t>
  </si>
  <si>
    <t>y</t>
  </si>
  <si>
    <t>*D</t>
  </si>
  <si>
    <t>DX</t>
  </si>
  <si>
    <t>DY</t>
  </si>
  <si>
    <t>[m / cell]</t>
  </si>
  <si>
    <t>Max time</t>
  </si>
  <si>
    <t>Debug</t>
  </si>
  <si>
    <t>Triangular</t>
  </si>
  <si>
    <t>Quarant kental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</si>
</sst>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11"/>
      <color rgb="FF1F497D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4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1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1" diagonalDown="1">
      <left/>
      <right/>
      <top/>
      <bottom/>
      <diagonal style="thin">
        <color auto="1"/>
      </diagonal>
    </border>
  </borders>
  <cellStyleXfs count="3">
    <xf numFmtId="0" fontId="0" fillId="0" borderId="0"/>
    <xf numFmtId="0" fontId="2" fillId="6" borderId="3" applyNumberFormat="0" applyAlignment="0" applyProtection="0"/>
    <xf numFmtId="0" fontId="3" fillId="7" borderId="3" applyNumberFormat="0" applyAlignment="0" applyProtection="0"/>
  </cellStyleXfs>
  <cellXfs count="34">
    <xf numFmtId="0" fontId="0" fillId="0" borderId="0" xfId="0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1" fillId="0" borderId="2" xfId="0" applyFont="1" applyBorder="1"/>
    <xf numFmtId="0" fontId="0" fillId="0" borderId="2" xfId="0" applyBorder="1"/>
    <xf numFmtId="0" fontId="0" fillId="4" borderId="1" xfId="0" applyFill="1" applyBorder="1"/>
    <xf numFmtId="0" fontId="0" fillId="5" borderId="1" xfId="0" applyFill="1" applyBorder="1"/>
    <xf numFmtId="0" fontId="2" fillId="6" borderId="3" xfId="1"/>
    <xf numFmtId="0" fontId="3" fillId="7" borderId="3" xfId="2"/>
    <xf numFmtId="2" fontId="2" fillId="6" borderId="3" xfId="1" applyNumberFormat="1"/>
    <xf numFmtId="0" fontId="0" fillId="8" borderId="1" xfId="0" applyFill="1" applyBorder="1"/>
    <xf numFmtId="0" fontId="1" fillId="0" borderId="0" xfId="0" applyFont="1" applyBorder="1"/>
    <xf numFmtId="0" fontId="0" fillId="9" borderId="1" xfId="0" applyFill="1" applyBorder="1"/>
    <xf numFmtId="0" fontId="0" fillId="0" borderId="0" xfId="0" applyBorder="1"/>
    <xf numFmtId="11" fontId="0" fillId="0" borderId="0" xfId="0" applyNumberFormat="1"/>
    <xf numFmtId="0" fontId="0" fillId="0" borderId="0" xfId="0" applyBorder="1" applyAlignment="1"/>
    <xf numFmtId="0" fontId="2" fillId="6" borderId="3" xfId="1" applyAlignment="1"/>
    <xf numFmtId="0" fontId="0" fillId="10" borderId="1" xfId="0" applyFill="1" applyBorder="1"/>
    <xf numFmtId="2" fontId="0" fillId="0" borderId="2" xfId="0" applyNumberFormat="1" applyFill="1" applyBorder="1"/>
    <xf numFmtId="0" fontId="0" fillId="0" borderId="2" xfId="0" applyFill="1" applyBorder="1"/>
    <xf numFmtId="0" fontId="0" fillId="0" borderId="0" xfId="0" applyFill="1"/>
    <xf numFmtId="0" fontId="1" fillId="0" borderId="2" xfId="0" applyFont="1" applyFill="1" applyBorder="1"/>
    <xf numFmtId="0" fontId="0" fillId="0" borderId="0" xfId="0" applyFill="1" applyBorder="1"/>
    <xf numFmtId="0" fontId="4" fillId="0" borderId="0" xfId="0" applyFont="1" applyFill="1"/>
    <xf numFmtId="0" fontId="0" fillId="0" borderId="4" xfId="0" applyFill="1" applyBorder="1"/>
    <xf numFmtId="0" fontId="3" fillId="0" borderId="0" xfId="2" applyFill="1" applyBorder="1"/>
    <xf numFmtId="2" fontId="3" fillId="7" borderId="3" xfId="2" applyNumberFormat="1"/>
    <xf numFmtId="0" fontId="4" fillId="0" borderId="0" xfId="0" applyFont="1"/>
    <xf numFmtId="0" fontId="0" fillId="11" borderId="0" xfId="0" applyFill="1"/>
    <xf numFmtId="0" fontId="0" fillId="12" borderId="1" xfId="0" applyFill="1" applyBorder="1"/>
    <xf numFmtId="0" fontId="7" fillId="0" borderId="0" xfId="0" applyFont="1"/>
    <xf numFmtId="2" fontId="0" fillId="0" borderId="0" xfId="0" applyNumberFormat="1"/>
    <xf numFmtId="0" fontId="2" fillId="6" borderId="3" xfId="1" applyAlignment="1">
      <alignment horizontal="center"/>
    </xf>
  </cellXfs>
  <cellStyles count="3">
    <cellStyle name="Calculation" xfId="2" builtinId="22"/>
    <cellStyle name="Input" xfId="1" builtinId="20"/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C8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K$2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9525</xdr:rowOff>
        </xdr:from>
        <xdr:to>
          <xdr:col>4</xdr:col>
          <xdr:colOff>0</xdr:colOff>
          <xdr:row>6</xdr:row>
          <xdr:rowOff>171450</xdr:rowOff>
        </xdr:to>
        <xdr:sp macro="" textlink="">
          <xdr:nvSpPr>
            <xdr:cNvPr id="2049" name="Knop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(re)set grid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7</xdr:row>
          <xdr:rowOff>0</xdr:rowOff>
        </xdr:from>
        <xdr:to>
          <xdr:col>8</xdr:col>
          <xdr:colOff>9525</xdr:colOff>
          <xdr:row>8</xdr:row>
          <xdr:rowOff>171450</xdr:rowOff>
        </xdr:to>
        <xdr:sp macro="" textlink="">
          <xdr:nvSpPr>
            <xdr:cNvPr id="2052" name="Knop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Drop atomic bomb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152400</xdr:rowOff>
        </xdr:from>
        <xdr:to>
          <xdr:col>4</xdr:col>
          <xdr:colOff>0</xdr:colOff>
          <xdr:row>8</xdr:row>
          <xdr:rowOff>19050</xdr:rowOff>
        </xdr:to>
        <xdr:sp macro="" textlink="">
          <xdr:nvSpPr>
            <xdr:cNvPr id="2053" name="Selectievakje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Apply no-slip walls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21</xdr:row>
          <xdr:rowOff>0</xdr:rowOff>
        </xdr:from>
        <xdr:to>
          <xdr:col>7</xdr:col>
          <xdr:colOff>133350</xdr:colOff>
          <xdr:row>22</xdr:row>
          <xdr:rowOff>0</xdr:rowOff>
        </xdr:to>
        <xdr:sp macro="" textlink="">
          <xdr:nvSpPr>
            <xdr:cNvPr id="2057" name="Knop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Apply pattern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22</xdr:row>
          <xdr:rowOff>0</xdr:rowOff>
        </xdr:from>
        <xdr:to>
          <xdr:col>9</xdr:col>
          <xdr:colOff>962025</xdr:colOff>
          <xdr:row>23</xdr:row>
          <xdr:rowOff>19050</xdr:rowOff>
        </xdr:to>
        <xdr:sp macro="" textlink="">
          <xdr:nvSpPr>
            <xdr:cNvPr id="2060" name="Selectievakje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TURN OFF YPLUS 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L36"/>
  <sheetViews>
    <sheetView tabSelected="1" zoomScale="67" zoomScaleNormal="67" workbookViewId="0">
      <selection activeCell="BC46" sqref="BC46"/>
    </sheetView>
  </sheetViews>
  <sheetFormatPr defaultRowHeight="15" x14ac:dyDescent="0.25"/>
  <cols>
    <col min="1" max="194" width="1.7109375" customWidth="1"/>
  </cols>
  <sheetData>
    <row r="1" spans="1:194" ht="15" customHeight="1" x14ac:dyDescent="0.25">
      <c r="A1" s="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  <c r="EP1" s="13"/>
      <c r="EQ1" s="13"/>
      <c r="ER1" s="13"/>
      <c r="ES1" s="13"/>
      <c r="ET1" s="13"/>
      <c r="EU1" s="13"/>
      <c r="EV1" s="13"/>
      <c r="EW1" s="13"/>
      <c r="EX1" s="13"/>
      <c r="EY1" s="13"/>
      <c r="EZ1" s="13"/>
      <c r="FA1" s="13"/>
      <c r="FB1" s="13"/>
      <c r="FC1" s="13"/>
      <c r="FD1" s="13"/>
      <c r="FE1" s="13"/>
      <c r="FF1" s="13"/>
      <c r="FG1" s="13"/>
      <c r="FH1" s="13"/>
      <c r="FI1" s="13"/>
      <c r="FJ1" s="13"/>
      <c r="FK1" s="13"/>
      <c r="FL1" s="13"/>
      <c r="FM1" s="13"/>
      <c r="FN1" s="13"/>
      <c r="FO1" s="13"/>
      <c r="FP1" s="13"/>
      <c r="FQ1" s="13"/>
      <c r="FR1" s="13"/>
      <c r="FS1" s="13"/>
      <c r="FT1" s="13"/>
      <c r="FU1" s="13"/>
      <c r="FV1" s="13"/>
      <c r="FW1" s="13"/>
      <c r="FX1" s="13"/>
      <c r="FY1" s="13"/>
      <c r="FZ1" s="13"/>
      <c r="GA1" s="13"/>
      <c r="GB1" s="13"/>
      <c r="GC1" s="13"/>
      <c r="GD1" s="13"/>
      <c r="GE1" s="13"/>
      <c r="GF1" s="13"/>
      <c r="GG1" s="13"/>
      <c r="GH1" s="13"/>
      <c r="GI1" s="13"/>
      <c r="GJ1" s="13"/>
      <c r="GK1" s="13"/>
      <c r="GL1" s="2"/>
    </row>
    <row r="2" spans="1:194" ht="1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 t="s">
        <v>47</v>
      </c>
      <c r="AI2" s="1"/>
      <c r="AJ2" s="1"/>
      <c r="AK2" s="1"/>
      <c r="AL2" s="1"/>
      <c r="AM2" s="1"/>
      <c r="AN2" s="1"/>
      <c r="AO2" s="1"/>
      <c r="AP2" s="1"/>
      <c r="AQ2" s="1"/>
      <c r="AR2" s="7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7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2"/>
    </row>
    <row r="3" spans="1:194" ht="15" customHeight="1" x14ac:dyDescent="0.25">
      <c r="A3" s="2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7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7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2"/>
    </row>
    <row r="4" spans="1:194" ht="15" customHeight="1" x14ac:dyDescent="0.25">
      <c r="A4" s="2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1"/>
      <c r="AT4" s="30"/>
      <c r="AU4" s="30"/>
      <c r="AV4" s="30"/>
      <c r="AW4" s="30"/>
      <c r="AX4" s="30"/>
      <c r="AY4" s="30"/>
      <c r="AZ4" s="30"/>
      <c r="BA4" s="30"/>
      <c r="BB4" s="11"/>
      <c r="BC4" s="1"/>
      <c r="BD4" s="1"/>
      <c r="BE4" s="1"/>
      <c r="BF4" s="1"/>
      <c r="BG4" s="1"/>
      <c r="BH4" s="1"/>
      <c r="BI4" s="1"/>
      <c r="BJ4" s="3"/>
      <c r="BK4" s="3"/>
      <c r="BL4" s="3"/>
      <c r="BM4" s="3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2"/>
    </row>
    <row r="5" spans="1:194" ht="1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1"/>
      <c r="AU5" s="30"/>
      <c r="AV5" s="30"/>
      <c r="AW5" s="30"/>
      <c r="AX5" s="30"/>
      <c r="AY5" s="30"/>
      <c r="AZ5" s="30"/>
      <c r="BA5" s="11"/>
      <c r="BB5" s="1"/>
      <c r="BC5" s="1"/>
      <c r="BD5" s="1"/>
      <c r="BE5" s="1"/>
      <c r="BF5" s="1"/>
      <c r="BG5" s="1"/>
      <c r="BH5" s="1"/>
      <c r="BI5" s="11"/>
      <c r="BJ5" s="30"/>
      <c r="BK5" s="30"/>
      <c r="BL5" s="30"/>
      <c r="BM5" s="30"/>
      <c r="BN5" s="1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2"/>
    </row>
    <row r="6" spans="1:194" ht="15" customHeight="1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1"/>
      <c r="AV6" s="30"/>
      <c r="AW6" s="30"/>
      <c r="AX6" s="30"/>
      <c r="AY6" s="30"/>
      <c r="AZ6" s="11"/>
      <c r="BA6" s="1"/>
      <c r="BB6" s="1"/>
      <c r="BC6" s="1"/>
      <c r="BD6" s="1"/>
      <c r="BE6" s="1"/>
      <c r="BF6" s="1"/>
      <c r="BG6" s="1"/>
      <c r="BH6" s="11"/>
      <c r="BI6" s="30"/>
      <c r="BJ6" s="30"/>
      <c r="BK6" s="30"/>
      <c r="BL6" s="30"/>
      <c r="BM6" s="30"/>
      <c r="BN6" s="30"/>
      <c r="BO6" s="1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2"/>
    </row>
    <row r="7" spans="1:194" ht="15" customHeight="1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3"/>
      <c r="AW7" s="3"/>
      <c r="AX7" s="3"/>
      <c r="AY7" s="3"/>
      <c r="AZ7" s="1"/>
      <c r="BA7" s="1"/>
      <c r="BB7" s="1"/>
      <c r="BC7" s="1"/>
      <c r="BD7" s="1"/>
      <c r="BE7" s="1"/>
      <c r="BF7" s="1"/>
      <c r="BG7" s="11"/>
      <c r="BH7" s="30"/>
      <c r="BI7" s="30"/>
      <c r="BJ7" s="30"/>
      <c r="BK7" s="30"/>
      <c r="BL7" s="30"/>
      <c r="BM7" s="30"/>
      <c r="BN7" s="30"/>
      <c r="BO7" s="30"/>
      <c r="BP7" s="1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2"/>
    </row>
    <row r="8" spans="1:194" ht="15" customHeight="1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7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7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2"/>
    </row>
    <row r="9" spans="1:194" ht="15" customHeight="1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7"/>
      <c r="BG9" s="30"/>
      <c r="BH9" s="30"/>
      <c r="BI9" s="30"/>
      <c r="BJ9" s="30"/>
      <c r="BK9" s="30"/>
      <c r="BL9" s="30"/>
      <c r="BM9" s="30"/>
      <c r="BN9" s="30"/>
      <c r="BO9" s="30"/>
      <c r="BP9" s="30"/>
      <c r="BQ9" s="7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2"/>
    </row>
    <row r="10" spans="1:194" ht="15" customHeight="1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7"/>
      <c r="BG10" s="30"/>
      <c r="BH10" s="30"/>
      <c r="BI10" s="30"/>
      <c r="BJ10" s="30"/>
      <c r="BK10" s="30"/>
      <c r="BL10" s="30"/>
      <c r="BM10" s="30"/>
      <c r="BN10" s="30"/>
      <c r="BO10" s="30"/>
      <c r="BP10" s="30"/>
      <c r="BQ10" s="7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2"/>
    </row>
    <row r="11" spans="1:194" ht="15" customHeight="1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7"/>
      <c r="BG11" s="30"/>
      <c r="BH11" s="30"/>
      <c r="BI11" s="30"/>
      <c r="BJ11" s="30"/>
      <c r="BK11" s="30"/>
      <c r="BL11" s="30"/>
      <c r="BM11" s="30"/>
      <c r="BN11" s="30"/>
      <c r="BO11" s="30"/>
      <c r="BP11" s="30"/>
      <c r="BQ11" s="7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2"/>
    </row>
    <row r="12" spans="1:194" ht="15" customHeight="1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3"/>
      <c r="AW12" s="3"/>
      <c r="AX12" s="3"/>
      <c r="AY12" s="3"/>
      <c r="AZ12" s="1"/>
      <c r="BA12" s="1"/>
      <c r="BB12" s="1"/>
      <c r="BC12" s="1"/>
      <c r="BD12" s="1"/>
      <c r="BE12" s="1"/>
      <c r="BF12" s="1"/>
      <c r="BG12" s="11"/>
      <c r="BH12" s="30"/>
      <c r="BI12" s="30"/>
      <c r="BJ12" s="30"/>
      <c r="BK12" s="30"/>
      <c r="BL12" s="30"/>
      <c r="BM12" s="30"/>
      <c r="BN12" s="30"/>
      <c r="BO12" s="30"/>
      <c r="BP12" s="1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2"/>
    </row>
    <row r="13" spans="1:194" ht="15" customHeight="1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1"/>
      <c r="AV13" s="30"/>
      <c r="AW13" s="30"/>
      <c r="AX13" s="30"/>
      <c r="AY13" s="30"/>
      <c r="AZ13" s="11"/>
      <c r="BA13" s="1"/>
      <c r="BB13" s="1"/>
      <c r="BC13" s="1"/>
      <c r="BD13" s="1"/>
      <c r="BE13" s="1"/>
      <c r="BF13" s="1"/>
      <c r="BG13" s="1"/>
      <c r="BH13" s="11"/>
      <c r="BI13" s="30"/>
      <c r="BJ13" s="30"/>
      <c r="BK13" s="30"/>
      <c r="BL13" s="30"/>
      <c r="BM13" s="30"/>
      <c r="BN13" s="30"/>
      <c r="BO13" s="1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2"/>
    </row>
    <row r="14" spans="1:194" ht="15" customHeight="1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1"/>
      <c r="AU14" s="30"/>
      <c r="AV14" s="30"/>
      <c r="AW14" s="30"/>
      <c r="AX14" s="30"/>
      <c r="AY14" s="30"/>
      <c r="AZ14" s="30"/>
      <c r="BA14" s="11"/>
      <c r="BB14" s="1"/>
      <c r="BC14" s="1"/>
      <c r="BD14" s="1"/>
      <c r="BE14" s="1"/>
      <c r="BF14" s="1"/>
      <c r="BG14" s="1"/>
      <c r="BH14" s="1"/>
      <c r="BI14" s="11"/>
      <c r="BJ14" s="30"/>
      <c r="BK14" s="30"/>
      <c r="BL14" s="30"/>
      <c r="BM14" s="30"/>
      <c r="BN14" s="1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2"/>
    </row>
    <row r="15" spans="1:194" ht="15" customHeight="1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1"/>
      <c r="AT15" s="30"/>
      <c r="AU15" s="30"/>
      <c r="AV15" s="30"/>
      <c r="AW15" s="30"/>
      <c r="AX15" s="30"/>
      <c r="AY15" s="30"/>
      <c r="AZ15" s="30"/>
      <c r="BA15" s="30"/>
      <c r="BB15" s="11"/>
      <c r="BC15" s="1"/>
      <c r="BD15" s="1"/>
      <c r="BE15" s="1"/>
      <c r="BF15" s="1"/>
      <c r="BG15" s="1"/>
      <c r="BH15" s="1"/>
      <c r="BI15" s="1"/>
      <c r="BJ15" s="3"/>
      <c r="BK15" s="3"/>
      <c r="BL15" s="3"/>
      <c r="BM15" s="3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2"/>
    </row>
    <row r="16" spans="1:194" ht="15" customHeight="1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7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7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2"/>
    </row>
    <row r="17" spans="1:194" ht="15" customHeight="1" x14ac:dyDescent="0.25">
      <c r="A17" s="2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7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7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2"/>
    </row>
    <row r="18" spans="1:194" ht="15" customHeight="1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7"/>
      <c r="AS18" s="30"/>
      <c r="AT18" s="30"/>
      <c r="AU18" s="30"/>
      <c r="AV18" s="30"/>
      <c r="AW18" s="30"/>
      <c r="AX18" s="30"/>
      <c r="AY18" s="30"/>
      <c r="AZ18" s="30"/>
      <c r="BA18" s="30"/>
      <c r="BB18" s="30"/>
      <c r="BC18" s="7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2"/>
    </row>
    <row r="19" spans="1:194" ht="15" customHeight="1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7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7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2"/>
    </row>
    <row r="20" spans="1:194" ht="15" customHeight="1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1"/>
      <c r="AT20" s="30"/>
      <c r="AU20" s="30"/>
      <c r="AV20" s="30"/>
      <c r="AW20" s="30"/>
      <c r="AX20" s="30"/>
      <c r="AY20" s="30"/>
      <c r="AZ20" s="30"/>
      <c r="BA20" s="30"/>
      <c r="BB20" s="11"/>
      <c r="BC20" s="1"/>
      <c r="BD20" s="1"/>
      <c r="BE20" s="1"/>
      <c r="BF20" s="1"/>
      <c r="BG20" s="1"/>
      <c r="BH20" s="1"/>
      <c r="BI20" s="1"/>
      <c r="BJ20" s="3"/>
      <c r="BK20" s="3"/>
      <c r="BL20" s="3"/>
      <c r="BM20" s="3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2"/>
    </row>
    <row r="21" spans="1:194" ht="15" customHeight="1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1"/>
      <c r="AU21" s="30"/>
      <c r="AV21" s="30"/>
      <c r="AW21" s="30"/>
      <c r="AX21" s="30"/>
      <c r="AY21" s="30"/>
      <c r="AZ21" s="30"/>
      <c r="BA21" s="11"/>
      <c r="BB21" s="1"/>
      <c r="BC21" s="1"/>
      <c r="BD21" s="1"/>
      <c r="BE21" s="1"/>
      <c r="BF21" s="1"/>
      <c r="BG21" s="1"/>
      <c r="BH21" s="1"/>
      <c r="BI21" s="11"/>
      <c r="BJ21" s="30"/>
      <c r="BK21" s="30"/>
      <c r="BL21" s="30"/>
      <c r="BM21" s="30"/>
      <c r="BN21" s="1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2"/>
    </row>
    <row r="22" spans="1:194" ht="15" customHeight="1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1"/>
      <c r="AV22" s="30"/>
      <c r="AW22" s="30"/>
      <c r="AX22" s="30"/>
      <c r="AY22" s="30"/>
      <c r="AZ22" s="11"/>
      <c r="BA22" s="1"/>
      <c r="BB22" s="1"/>
      <c r="BC22" s="1"/>
      <c r="BD22" s="1"/>
      <c r="BE22" s="1"/>
      <c r="BF22" s="1"/>
      <c r="BG22" s="1"/>
      <c r="BH22" s="11"/>
      <c r="BI22" s="30"/>
      <c r="BJ22" s="30"/>
      <c r="BK22" s="30"/>
      <c r="BL22" s="30"/>
      <c r="BM22" s="30"/>
      <c r="BN22" s="30"/>
      <c r="BO22" s="1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2"/>
    </row>
    <row r="23" spans="1:194" ht="15" customHeight="1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3"/>
      <c r="AW23" s="3"/>
      <c r="AX23" s="3"/>
      <c r="AY23" s="3"/>
      <c r="AZ23" s="1"/>
      <c r="BA23" s="1"/>
      <c r="BB23" s="1"/>
      <c r="BC23" s="1"/>
      <c r="BD23" s="1"/>
      <c r="BE23" s="1"/>
      <c r="BF23" s="1"/>
      <c r="BG23" s="11"/>
      <c r="BH23" s="30"/>
      <c r="BI23" s="30"/>
      <c r="BJ23" s="30"/>
      <c r="BK23" s="30"/>
      <c r="BL23" s="30"/>
      <c r="BM23" s="30"/>
      <c r="BN23" s="30"/>
      <c r="BO23" s="30"/>
      <c r="BP23" s="1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2"/>
    </row>
    <row r="24" spans="1:194" ht="15" customHeight="1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7"/>
      <c r="BG24" s="30"/>
      <c r="BH24" s="30"/>
      <c r="BI24" s="30"/>
      <c r="BJ24" s="30"/>
      <c r="BK24" s="30"/>
      <c r="BL24" s="30"/>
      <c r="BM24" s="30"/>
      <c r="BN24" s="30"/>
      <c r="BO24" s="30"/>
      <c r="BP24" s="30"/>
      <c r="BQ24" s="7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2"/>
    </row>
    <row r="25" spans="1:194" ht="15" customHeight="1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7"/>
      <c r="BG25" s="30"/>
      <c r="BH25" s="30"/>
      <c r="BI25" s="30"/>
      <c r="BJ25" s="30"/>
      <c r="BK25" s="30"/>
      <c r="BL25" s="30"/>
      <c r="BM25" s="30"/>
      <c r="BN25" s="30"/>
      <c r="BO25" s="30"/>
      <c r="BP25" s="30"/>
      <c r="BQ25" s="7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2"/>
    </row>
    <row r="26" spans="1:194" ht="15" customHeight="1" x14ac:dyDescent="0.25">
      <c r="A26" s="2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7"/>
      <c r="BG26" s="30"/>
      <c r="BH26" s="30"/>
      <c r="BI26" s="30"/>
      <c r="BJ26" s="30"/>
      <c r="BK26" s="30"/>
      <c r="BL26" s="30"/>
      <c r="BM26" s="30"/>
      <c r="BN26" s="30"/>
      <c r="BO26" s="30"/>
      <c r="BP26" s="30"/>
      <c r="BQ26" s="7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2"/>
    </row>
    <row r="27" spans="1:194" ht="15" customHeight="1" x14ac:dyDescent="0.25">
      <c r="A27" s="2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7"/>
      <c r="BG27" s="30"/>
      <c r="BH27" s="30"/>
      <c r="BI27" s="30"/>
      <c r="BJ27" s="30"/>
      <c r="BK27" s="30"/>
      <c r="BL27" s="30"/>
      <c r="BM27" s="30"/>
      <c r="BN27" s="30"/>
      <c r="BO27" s="30"/>
      <c r="BP27" s="30"/>
      <c r="BQ27" s="7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2"/>
    </row>
    <row r="28" spans="1:194" ht="15" customHeight="1" x14ac:dyDescent="0.25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3"/>
      <c r="AW28" s="3"/>
      <c r="AX28" s="3"/>
      <c r="AY28" s="3"/>
      <c r="AZ28" s="1"/>
      <c r="BA28" s="1"/>
      <c r="BB28" s="1"/>
      <c r="BC28" s="1"/>
      <c r="BD28" s="1"/>
      <c r="BE28" s="1"/>
      <c r="BF28" s="1"/>
      <c r="BG28" s="11"/>
      <c r="BH28" s="30"/>
      <c r="BI28" s="30"/>
      <c r="BJ28" s="30"/>
      <c r="BK28" s="30"/>
      <c r="BL28" s="30"/>
      <c r="BM28" s="30"/>
      <c r="BN28" s="30"/>
      <c r="BO28" s="30"/>
      <c r="BP28" s="1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2"/>
    </row>
    <row r="29" spans="1:194" ht="15" customHeight="1" x14ac:dyDescent="0.25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1"/>
      <c r="AV29" s="30"/>
      <c r="AW29" s="30"/>
      <c r="AX29" s="30"/>
      <c r="AY29" s="30"/>
      <c r="AZ29" s="11"/>
      <c r="BA29" s="1"/>
      <c r="BB29" s="1"/>
      <c r="BC29" s="1"/>
      <c r="BD29" s="1"/>
      <c r="BE29" s="1"/>
      <c r="BF29" s="1"/>
      <c r="BG29" s="1"/>
      <c r="BH29" s="11"/>
      <c r="BI29" s="30"/>
      <c r="BJ29" s="30"/>
      <c r="BK29" s="30"/>
      <c r="BL29" s="30"/>
      <c r="BM29" s="30"/>
      <c r="BN29" s="30"/>
      <c r="BO29" s="1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2"/>
    </row>
    <row r="30" spans="1:194" ht="15" customHeight="1" x14ac:dyDescent="0.25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1"/>
      <c r="AU30" s="30"/>
      <c r="AV30" s="30"/>
      <c r="AW30" s="30"/>
      <c r="AX30" s="30"/>
      <c r="AY30" s="30"/>
      <c r="AZ30" s="30"/>
      <c r="BA30" s="11"/>
      <c r="BB30" s="1"/>
      <c r="BC30" s="1"/>
      <c r="BD30" s="1"/>
      <c r="BE30" s="1"/>
      <c r="BF30" s="1"/>
      <c r="BG30" s="1"/>
      <c r="BH30" s="1"/>
      <c r="BI30" s="11"/>
      <c r="BJ30" s="30"/>
      <c r="BK30" s="30"/>
      <c r="BL30" s="30"/>
      <c r="BM30" s="30"/>
      <c r="BN30" s="1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2"/>
    </row>
    <row r="31" spans="1:194" ht="15" customHeight="1" x14ac:dyDescent="0.25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1"/>
      <c r="AT31" s="30"/>
      <c r="AU31" s="30"/>
      <c r="AV31" s="30"/>
      <c r="AW31" s="30"/>
      <c r="AX31" s="30"/>
      <c r="AY31" s="30"/>
      <c r="AZ31" s="30"/>
      <c r="BA31" s="30"/>
      <c r="BB31" s="11"/>
      <c r="BC31" s="1"/>
      <c r="BD31" s="1"/>
      <c r="BE31" s="1"/>
      <c r="BF31" s="1"/>
      <c r="BG31" s="1"/>
      <c r="BH31" s="1"/>
      <c r="BI31" s="1"/>
      <c r="BJ31" s="3"/>
      <c r="BK31" s="3"/>
      <c r="BL31" s="3"/>
      <c r="BM31" s="3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2"/>
    </row>
    <row r="32" spans="1:194" ht="15" customHeight="1" x14ac:dyDescent="0.25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7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7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2"/>
    </row>
    <row r="33" spans="1:194" ht="15" customHeight="1" x14ac:dyDescent="0.25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7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7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2"/>
    </row>
    <row r="34" spans="1:194" ht="15" customHeight="1" x14ac:dyDescent="0.25">
      <c r="A34" s="2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  <c r="GE34" s="13"/>
      <c r="GF34" s="13"/>
      <c r="GG34" s="13"/>
      <c r="GH34" s="13"/>
      <c r="GI34" s="13"/>
      <c r="GJ34" s="13"/>
      <c r="GK34" s="13"/>
      <c r="GL34" s="2"/>
    </row>
    <row r="35" spans="1:194" ht="15" customHeight="1" x14ac:dyDescent="0.25"/>
    <row r="36" spans="1:194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B1:M34"/>
  <sheetViews>
    <sheetView workbookViewId="0">
      <selection activeCell="H19" sqref="H19"/>
    </sheetView>
  </sheetViews>
  <sheetFormatPr defaultRowHeight="15" x14ac:dyDescent="0.25"/>
  <cols>
    <col min="1" max="1" width="8.85546875" customWidth="1"/>
    <col min="2" max="2" width="12.140625" customWidth="1"/>
    <col min="4" max="4" width="10.85546875" customWidth="1"/>
    <col min="10" max="10" width="18" customWidth="1"/>
    <col min="12" max="12" width="12.28515625" customWidth="1"/>
  </cols>
  <sheetData>
    <row r="1" spans="2:13" ht="18.600000000000001" thickBot="1" x14ac:dyDescent="0.4">
      <c r="B1" s="4" t="s">
        <v>4</v>
      </c>
      <c r="C1" s="19"/>
      <c r="D1" s="20"/>
      <c r="E1" s="21"/>
      <c r="F1" s="22" t="s">
        <v>10</v>
      </c>
      <c r="G1" s="20"/>
      <c r="H1" s="20"/>
      <c r="J1" s="12" t="s">
        <v>21</v>
      </c>
      <c r="K1" s="5"/>
      <c r="L1" s="5"/>
    </row>
    <row r="2" spans="2:13" ht="14.45" customHeight="1" x14ac:dyDescent="0.3">
      <c r="C2" s="21"/>
      <c r="D2" s="21"/>
      <c r="E2" s="21"/>
      <c r="F2" s="21"/>
      <c r="G2" s="21"/>
      <c r="H2" s="21"/>
      <c r="J2" s="6"/>
      <c r="K2" t="s">
        <v>42</v>
      </c>
      <c r="M2">
        <v>0</v>
      </c>
    </row>
    <row r="3" spans="2:13" ht="14.45" x14ac:dyDescent="0.3">
      <c r="B3" t="s">
        <v>0</v>
      </c>
      <c r="C3" s="10">
        <v>1.2</v>
      </c>
      <c r="D3" s="21" t="s">
        <v>11</v>
      </c>
      <c r="E3" s="21"/>
      <c r="F3" s="21" t="s">
        <v>44</v>
      </c>
      <c r="G3" s="8">
        <v>273</v>
      </c>
      <c r="H3" s="21" t="s">
        <v>12</v>
      </c>
      <c r="J3" s="18"/>
      <c r="K3" t="s">
        <v>43</v>
      </c>
      <c r="M3">
        <v>3</v>
      </c>
    </row>
    <row r="4" spans="2:13" ht="14.45" x14ac:dyDescent="0.3">
      <c r="B4" t="s">
        <v>1</v>
      </c>
      <c r="C4" s="10">
        <v>0.2</v>
      </c>
      <c r="D4" s="21" t="s">
        <v>11</v>
      </c>
      <c r="E4" s="21"/>
      <c r="F4" s="21" t="s">
        <v>45</v>
      </c>
      <c r="G4" s="8">
        <v>320</v>
      </c>
      <c r="H4" s="21" t="s">
        <v>12</v>
      </c>
      <c r="J4" s="13"/>
      <c r="K4" t="s">
        <v>46</v>
      </c>
      <c r="M4">
        <v>10</v>
      </c>
    </row>
    <row r="5" spans="2:13" ht="14.45" x14ac:dyDescent="0.3">
      <c r="B5" s="14" t="s">
        <v>41</v>
      </c>
      <c r="C5" s="9">
        <f>C7/C6</f>
        <v>0.16666666666666669</v>
      </c>
      <c r="D5" s="23"/>
      <c r="E5" s="21"/>
      <c r="F5" s="21" t="s">
        <v>29</v>
      </c>
      <c r="G5" s="8">
        <v>1</v>
      </c>
      <c r="H5" s="21" t="s">
        <v>13</v>
      </c>
      <c r="J5" s="3"/>
      <c r="K5" t="s">
        <v>22</v>
      </c>
      <c r="M5">
        <v>44</v>
      </c>
    </row>
    <row r="6" spans="2:13" ht="14.45" x14ac:dyDescent="0.3">
      <c r="B6" t="s">
        <v>2</v>
      </c>
      <c r="C6" s="8">
        <f>C3/C4*C7</f>
        <v>191.99999999999997</v>
      </c>
      <c r="D6" s="21"/>
      <c r="E6" s="21"/>
      <c r="F6" s="21"/>
      <c r="G6" s="21"/>
      <c r="H6" s="21"/>
      <c r="J6" s="7"/>
      <c r="K6" t="s">
        <v>23</v>
      </c>
      <c r="M6">
        <v>42</v>
      </c>
    </row>
    <row r="7" spans="2:13" ht="14.45" x14ac:dyDescent="0.3">
      <c r="B7" t="s">
        <v>3</v>
      </c>
      <c r="C7" s="8">
        <v>32</v>
      </c>
      <c r="D7" s="21"/>
      <c r="E7" s="21"/>
      <c r="F7" s="21"/>
      <c r="G7" s="21"/>
      <c r="H7" s="21"/>
      <c r="J7" s="11"/>
      <c r="K7" t="s">
        <v>24</v>
      </c>
      <c r="M7">
        <v>41</v>
      </c>
    </row>
    <row r="8" spans="2:13" ht="14.45" x14ac:dyDescent="0.3">
      <c r="C8" s="24" t="b">
        <v>0</v>
      </c>
      <c r="D8" s="21"/>
      <c r="E8" s="21"/>
      <c r="F8" s="21"/>
      <c r="G8" s="21"/>
      <c r="H8" s="21"/>
    </row>
    <row r="9" spans="2:13" ht="14.45" x14ac:dyDescent="0.3">
      <c r="C9" s="21"/>
      <c r="D9" s="21"/>
      <c r="E9" s="21"/>
      <c r="F9" s="21"/>
      <c r="G9" s="21"/>
      <c r="H9" s="21"/>
    </row>
    <row r="10" spans="2:13" ht="14.45" x14ac:dyDescent="0.3">
      <c r="C10" s="21"/>
      <c r="D10" s="21"/>
      <c r="E10" s="21"/>
      <c r="F10" s="21"/>
      <c r="G10" s="21"/>
      <c r="H10" s="21"/>
    </row>
    <row r="11" spans="2:13" ht="18.600000000000001" thickBot="1" x14ac:dyDescent="0.4">
      <c r="B11" s="4" t="s">
        <v>19</v>
      </c>
      <c r="C11" s="20"/>
      <c r="D11" s="20"/>
      <c r="E11" s="21"/>
      <c r="F11" s="22" t="s">
        <v>28</v>
      </c>
      <c r="G11" s="20"/>
      <c r="H11" s="20"/>
      <c r="J11" s="4" t="s">
        <v>27</v>
      </c>
      <c r="K11" s="5"/>
      <c r="L11" s="5"/>
    </row>
    <row r="12" spans="2:13" ht="14.45" x14ac:dyDescent="0.3">
      <c r="C12" s="21"/>
      <c r="D12" s="21"/>
      <c r="E12" s="21"/>
      <c r="F12" s="21"/>
      <c r="G12" s="21"/>
      <c r="H12" s="21"/>
    </row>
    <row r="13" spans="2:13" ht="14.45" x14ac:dyDescent="0.3">
      <c r="B13" t="s">
        <v>9</v>
      </c>
      <c r="C13" s="8">
        <v>100</v>
      </c>
      <c r="D13" s="21"/>
      <c r="E13" s="21"/>
      <c r="F13" s="25" t="s">
        <v>7</v>
      </c>
      <c r="G13" s="33" t="s">
        <v>8</v>
      </c>
      <c r="H13" s="33"/>
      <c r="J13" t="s">
        <v>30</v>
      </c>
      <c r="K13" s="17" t="s">
        <v>31</v>
      </c>
      <c r="L13" s="16"/>
    </row>
    <row r="14" spans="2:13" ht="14.45" x14ac:dyDescent="0.3">
      <c r="B14" t="s">
        <v>14</v>
      </c>
      <c r="C14" s="8">
        <v>1</v>
      </c>
      <c r="D14" s="21"/>
      <c r="E14" s="21"/>
      <c r="F14" s="25" t="s">
        <v>25</v>
      </c>
      <c r="G14" s="8">
        <v>0.1</v>
      </c>
      <c r="H14" s="25"/>
      <c r="J14" t="s">
        <v>33</v>
      </c>
      <c r="K14" s="15">
        <f>INDEX('Fluid properties'!$A$4:$R$15,1,MATCH($K$13,'Fluid properties'!$3:$3))</f>
        <v>1</v>
      </c>
      <c r="L14" t="s">
        <v>38</v>
      </c>
    </row>
    <row r="15" spans="2:13" ht="14.45" x14ac:dyDescent="0.3">
      <c r="B15" t="s">
        <v>15</v>
      </c>
      <c r="C15" s="8">
        <v>1</v>
      </c>
      <c r="D15" s="21"/>
      <c r="E15" s="21"/>
      <c r="F15" s="21"/>
      <c r="G15" s="21"/>
      <c r="H15" s="21"/>
      <c r="J15" t="s">
        <v>34</v>
      </c>
      <c r="K15" s="15">
        <f>INDEX('Fluid properties'!$A$4:$R$15,2,MATCH($K$13,'Fluid properties'!$3:$3))</f>
        <v>2.0000000000000002E-5</v>
      </c>
      <c r="L15" t="s">
        <v>39</v>
      </c>
    </row>
    <row r="16" spans="2:13" ht="14.45" x14ac:dyDescent="0.3">
      <c r="B16" t="s">
        <v>16</v>
      </c>
      <c r="C16" s="8">
        <v>30</v>
      </c>
      <c r="D16" s="21"/>
      <c r="E16" s="21"/>
      <c r="F16" s="21" t="s">
        <v>5</v>
      </c>
      <c r="G16" s="8">
        <v>0.3</v>
      </c>
      <c r="H16" s="21"/>
      <c r="J16" t="s">
        <v>37</v>
      </c>
      <c r="K16">
        <f>INDEX('Fluid properties'!$A$4:$R$15,3,MATCH($K$13,'Fluid properties'!$3:$3))</f>
        <v>1013</v>
      </c>
      <c r="L16" t="s">
        <v>36</v>
      </c>
    </row>
    <row r="17" spans="2:12" ht="14.45" x14ac:dyDescent="0.3">
      <c r="B17" t="s">
        <v>20</v>
      </c>
      <c r="C17" s="8">
        <v>1</v>
      </c>
      <c r="D17" s="21"/>
      <c r="E17" s="21"/>
      <c r="F17" s="21" t="s">
        <v>6</v>
      </c>
      <c r="G17" s="8">
        <v>1</v>
      </c>
      <c r="H17" s="21"/>
      <c r="J17" t="s">
        <v>35</v>
      </c>
      <c r="K17">
        <f>INDEX('Fluid properties'!$A$4:$R$15,4,MATCH($K$13,'Fluid properties'!$3:$3))</f>
        <v>2.5000000000000001E-2</v>
      </c>
      <c r="L17" t="s">
        <v>40</v>
      </c>
    </row>
    <row r="18" spans="2:12" ht="14.45" x14ac:dyDescent="0.3">
      <c r="B18" t="s">
        <v>17</v>
      </c>
      <c r="C18" s="8">
        <v>1</v>
      </c>
      <c r="D18" s="21"/>
      <c r="E18" s="21"/>
      <c r="F18" s="21"/>
      <c r="G18" s="21"/>
      <c r="H18" s="21"/>
    </row>
    <row r="19" spans="2:12" ht="14.45" x14ac:dyDescent="0.3">
      <c r="B19" t="s">
        <v>18</v>
      </c>
      <c r="C19" s="8">
        <v>1</v>
      </c>
      <c r="D19" s="21"/>
      <c r="E19" s="21"/>
      <c r="F19" s="23" t="s">
        <v>26</v>
      </c>
      <c r="G19" s="8">
        <v>1E-3</v>
      </c>
      <c r="H19" s="23"/>
    </row>
    <row r="20" spans="2:12" ht="14.45" x14ac:dyDescent="0.3">
      <c r="C20" s="21"/>
      <c r="D20" s="21"/>
      <c r="E20" s="21"/>
      <c r="F20" s="23" t="s">
        <v>60</v>
      </c>
      <c r="G20" s="8">
        <v>0.5</v>
      </c>
      <c r="H20" s="21"/>
    </row>
    <row r="21" spans="2:12" ht="14.45" x14ac:dyDescent="0.3">
      <c r="C21" s="21"/>
      <c r="D21" s="21"/>
      <c r="E21" s="21"/>
      <c r="F21" s="21"/>
      <c r="G21" s="21"/>
      <c r="H21" s="21"/>
    </row>
    <row r="22" spans="2:12" ht="18.600000000000001" thickBot="1" x14ac:dyDescent="0.4">
      <c r="B22" s="4" t="s">
        <v>48</v>
      </c>
      <c r="C22" s="19"/>
      <c r="D22" s="20"/>
      <c r="E22" s="20"/>
      <c r="F22" s="20"/>
      <c r="G22" s="20"/>
      <c r="H22" s="20"/>
      <c r="J22" s="4" t="s">
        <v>61</v>
      </c>
      <c r="K22" s="5"/>
      <c r="L22" s="5"/>
    </row>
    <row r="23" spans="2:12" ht="14.45" x14ac:dyDescent="0.3">
      <c r="C23" s="21"/>
      <c r="D23" s="21"/>
      <c r="E23" s="21"/>
      <c r="F23" s="21" t="s">
        <v>49</v>
      </c>
      <c r="G23" s="21"/>
      <c r="H23" s="21" t="s">
        <v>51</v>
      </c>
      <c r="K23" s="29" t="b">
        <v>0</v>
      </c>
    </row>
    <row r="24" spans="2:12" ht="14.45" x14ac:dyDescent="0.3">
      <c r="B24" t="s">
        <v>50</v>
      </c>
      <c r="C24" s="8" t="s">
        <v>62</v>
      </c>
      <c r="E24" t="s">
        <v>54</v>
      </c>
      <c r="F24" s="9">
        <f>0.25*C$27</f>
        <v>0.3</v>
      </c>
      <c r="H24" s="9">
        <f>F24+IF(C24="Square",C31,SQRT(C31^2 - (C31/2)^2))</f>
        <v>0.38660254037844388</v>
      </c>
      <c r="J24" s="28" t="b">
        <v>0</v>
      </c>
      <c r="L24" s="16"/>
    </row>
    <row r="25" spans="2:12" ht="14.45" x14ac:dyDescent="0.3">
      <c r="B25" t="s">
        <v>52</v>
      </c>
      <c r="C25" s="8">
        <v>1.5</v>
      </c>
      <c r="D25" t="s">
        <v>56</v>
      </c>
      <c r="E25" t="s">
        <v>55</v>
      </c>
      <c r="F25" s="9">
        <v>0</v>
      </c>
      <c r="G25" s="23"/>
      <c r="H25" s="9">
        <f>IF(C24="Square",F25,C31/2)</f>
        <v>0.05</v>
      </c>
      <c r="K25" s="15"/>
    </row>
    <row r="26" spans="2:12" x14ac:dyDescent="0.25">
      <c r="F26" s="26"/>
      <c r="G26" s="26"/>
      <c r="H26" s="26"/>
      <c r="J26" t="s">
        <v>63</v>
      </c>
      <c r="K26" s="32">
        <f>G19*G5/(C3/C6)</f>
        <v>0.16</v>
      </c>
    </row>
    <row r="27" spans="2:12" ht="14.45" customHeight="1" x14ac:dyDescent="0.25">
      <c r="B27" t="s">
        <v>0</v>
      </c>
      <c r="C27" s="27">
        <f>C3</f>
        <v>1.2</v>
      </c>
      <c r="D27" t="s">
        <v>11</v>
      </c>
      <c r="E27" t="s">
        <v>54</v>
      </c>
      <c r="F27" s="9">
        <f>0.25*C$27</f>
        <v>0.3</v>
      </c>
      <c r="H27" s="9">
        <f>H24</f>
        <v>0.38660254037844388</v>
      </c>
      <c r="K27" s="31"/>
    </row>
    <row r="28" spans="2:12" x14ac:dyDescent="0.25">
      <c r="B28" t="s">
        <v>1</v>
      </c>
      <c r="C28" s="27">
        <f>C4</f>
        <v>0.2</v>
      </c>
      <c r="D28" t="s">
        <v>11</v>
      </c>
      <c r="E28" t="s">
        <v>55</v>
      </c>
      <c r="F28" s="9">
        <f>C31</f>
        <v>0.1</v>
      </c>
      <c r="H28" s="9">
        <f>H25+C31</f>
        <v>0.15000000000000002</v>
      </c>
    </row>
    <row r="30" spans="2:12" x14ac:dyDescent="0.25">
      <c r="B30" t="s">
        <v>53</v>
      </c>
      <c r="C30" s="9">
        <f>C31/C25</f>
        <v>6.6666666666666666E-2</v>
      </c>
      <c r="D30" t="s">
        <v>11</v>
      </c>
      <c r="E30" t="s">
        <v>54</v>
      </c>
      <c r="F30" s="9">
        <f>0.25*C$27</f>
        <v>0.3</v>
      </c>
      <c r="H30" s="9" t="str">
        <f>IF(C24="Square",F30+C$31,"None")</f>
        <v>None</v>
      </c>
    </row>
    <row r="31" spans="2:12" x14ac:dyDescent="0.25">
      <c r="B31" t="s">
        <v>52</v>
      </c>
      <c r="C31" s="9">
        <f>C28/2</f>
        <v>0.1</v>
      </c>
      <c r="D31" t="s">
        <v>11</v>
      </c>
      <c r="E31" t="s">
        <v>55</v>
      </c>
      <c r="F31" s="9">
        <f>C28</f>
        <v>0.2</v>
      </c>
      <c r="H31" s="9" t="str">
        <f>IF(C24="Square",F31,"None")</f>
        <v>None</v>
      </c>
    </row>
    <row r="33" spans="2:4" x14ac:dyDescent="0.25">
      <c r="B33" t="s">
        <v>57</v>
      </c>
      <c r="C33" s="8">
        <f>C3/C6</f>
        <v>6.2500000000000003E-3</v>
      </c>
      <c r="D33" t="s">
        <v>59</v>
      </c>
    </row>
    <row r="34" spans="2:4" x14ac:dyDescent="0.25">
      <c r="B34" t="s">
        <v>58</v>
      </c>
      <c r="C34" s="8">
        <f>C4/C7</f>
        <v>6.2500000000000003E-3</v>
      </c>
      <c r="D34" t="s">
        <v>59</v>
      </c>
    </row>
  </sheetData>
  <mergeCells count="1">
    <mergeCell ref="G13:H13"/>
  </mergeCells>
  <conditionalFormatting sqref="K23">
    <cfRule type="cellIs" dxfId="0" priority="1" operator="equal">
      <formula>TRUE</formula>
    </cfRule>
  </conditionalFormatting>
  <dataValidations count="3">
    <dataValidation type="list" allowBlank="1" showInputMessage="1" showErrorMessage="1" sqref="G13:H13">
      <formula1>"solve,solveGS,solveSOR"</formula1>
    </dataValidation>
    <dataValidation type="list" allowBlank="1" showInputMessage="1" showErrorMessage="1" sqref="K13">
      <formula1>"Air,Water"</formula1>
    </dataValidation>
    <dataValidation type="list" allowBlank="1" showInputMessage="1" showErrorMessage="1" sqref="C24">
      <formula1>"Square,Triangular"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Knop 1">
              <controlPr defaultSize="0" print="0" autoFill="0" autoPict="0" macro="[0]!Blad2.Adjust_grid">
                <anchor moveWithCells="1">
                  <from>
                    <xdr:col>3</xdr:col>
                    <xdr:colOff>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Knop 4">
              <controlPr defaultSize="0" print="0" autoFill="0" autoPict="0" macro="[0]!Blad1.convert">
                <anchor moveWithCells="1">
                  <from>
                    <xdr:col>5</xdr:col>
                    <xdr:colOff>428625</xdr:colOff>
                    <xdr:row>7</xdr:row>
                    <xdr:rowOff>0</xdr:rowOff>
                  </from>
                  <to>
                    <xdr:col>8</xdr:col>
                    <xdr:colOff>9525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Selectievakje 5">
              <controlPr defaultSize="0" autoFill="0" autoLine="0" autoPict="0">
                <anchor moveWithCells="1">
                  <from>
                    <xdr:col>2</xdr:col>
                    <xdr:colOff>19050</xdr:colOff>
                    <xdr:row>6</xdr:row>
                    <xdr:rowOff>152400</xdr:rowOff>
                  </from>
                  <to>
                    <xdr:col>4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Knop 9">
              <controlPr defaultSize="0" print="0" autoFill="0" autoPict="0" macro="[0]!apply_pattern">
                <anchor moveWithCells="1">
                  <from>
                    <xdr:col>5</xdr:col>
                    <xdr:colOff>171450</xdr:colOff>
                    <xdr:row>21</xdr:row>
                    <xdr:rowOff>0</xdr:rowOff>
                  </from>
                  <to>
                    <xdr:col>7</xdr:col>
                    <xdr:colOff>133350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Selectievakje 12">
              <controlPr defaultSize="0" autoFill="0" autoLine="0" autoPict="0">
                <anchor moveWithCells="1">
                  <from>
                    <xdr:col>9</xdr:col>
                    <xdr:colOff>95250</xdr:colOff>
                    <xdr:row>22</xdr:row>
                    <xdr:rowOff>0</xdr:rowOff>
                  </from>
                  <to>
                    <xdr:col>9</xdr:col>
                    <xdr:colOff>962025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C7"/>
  <sheetViews>
    <sheetView workbookViewId="0">
      <selection activeCell="E26" sqref="E26"/>
    </sheetView>
  </sheetViews>
  <sheetFormatPr defaultRowHeight="15" x14ac:dyDescent="0.25"/>
  <cols>
    <col min="1" max="1" width="17.7109375" customWidth="1"/>
  </cols>
  <sheetData>
    <row r="1" spans="1:3" ht="18.600000000000001" thickBot="1" x14ac:dyDescent="0.4">
      <c r="A1" s="4" t="s">
        <v>27</v>
      </c>
      <c r="B1" s="5"/>
      <c r="C1" s="5"/>
    </row>
    <row r="3" spans="1:3" ht="14.45" x14ac:dyDescent="0.3">
      <c r="A3" t="s">
        <v>30</v>
      </c>
      <c r="B3" t="s">
        <v>31</v>
      </c>
      <c r="C3" t="s">
        <v>32</v>
      </c>
    </row>
    <row r="4" spans="1:3" ht="14.45" x14ac:dyDescent="0.3">
      <c r="A4" t="s">
        <v>33</v>
      </c>
      <c r="B4">
        <v>1</v>
      </c>
      <c r="C4">
        <v>1000</v>
      </c>
    </row>
    <row r="5" spans="1:3" ht="14.45" x14ac:dyDescent="0.3">
      <c r="A5" t="s">
        <v>34</v>
      </c>
      <c r="B5" s="15">
        <v>2.0000000000000002E-5</v>
      </c>
      <c r="C5" s="15">
        <v>1E-3</v>
      </c>
    </row>
    <row r="6" spans="1:3" ht="14.45" x14ac:dyDescent="0.3">
      <c r="A6" t="s">
        <v>37</v>
      </c>
      <c r="B6">
        <v>1013</v>
      </c>
      <c r="C6">
        <v>4200</v>
      </c>
    </row>
    <row r="7" spans="1:3" ht="14.45" x14ac:dyDescent="0.3">
      <c r="A7" t="s">
        <v>35</v>
      </c>
      <c r="B7">
        <v>2.5000000000000001E-2</v>
      </c>
      <c r="C7">
        <v>0.59099999999999997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Constraints</vt:lpstr>
      <vt:lpstr>Grid settings</vt:lpstr>
      <vt:lpstr>Fluid properties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Student</cp:lastModifiedBy>
  <dcterms:created xsi:type="dcterms:W3CDTF">2018-03-27T12:06:22Z</dcterms:created>
  <dcterms:modified xsi:type="dcterms:W3CDTF">2018-04-15T16:28:00Z</dcterms:modified>
</cp:coreProperties>
</file>