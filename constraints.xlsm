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2" l="1"/>
  <c r="C33" i="2"/>
  <c r="C28" i="2"/>
  <c r="C31" i="2" s="1"/>
  <c r="F28" i="2" s="1"/>
  <c r="C27" i="2"/>
  <c r="F27" i="2" s="1"/>
  <c r="F31" i="2" l="1"/>
  <c r="H31" i="2" s="1"/>
  <c r="F24" i="2"/>
  <c r="F30" i="2"/>
  <c r="H25" i="2"/>
  <c r="H24" i="2" l="1"/>
  <c r="C5" i="2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<sst xmlns="http://schemas.openxmlformats.org/spreadsheetml/2006/main" count="82" uniqueCount="61">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</sst>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2" fillId="0" borderId="2" xfId="0" applyFont="1" applyFill="1" applyBorder="1"/>
    <xf numFmtId="0" fontId="0" fillId="0" borderId="0" xfId="0" applyFill="1" applyBorder="1"/>
    <xf numFmtId="0" fontId="5" fillId="0" borderId="0" xfId="0" applyFont="1" applyFill="1"/>
    <xf numFmtId="0" fontId="0" fillId="0" borderId="4" xfId="0" applyFill="1" applyBorder="1"/>
    <xf numFmtId="0" fontId="4" fillId="0" borderId="0" xfId="2" applyFill="1" applyBorder="1"/>
    <xf numFmtId="2" fontId="4" fillId="7" borderId="3" xfId="2" applyNumberFormat="1"/>
    <xf numFmtId="0" fontId="3" fillId="6" borderId="3" xfId="1" applyAlignment="1">
      <alignment horizontal="center"/>
    </xf>
    <xf numFmtId="0" fontId="0" fillId="11" borderId="1" xfId="0" applyFill="1" applyBorder="1"/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129540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T162"/>
  <sheetViews>
    <sheetView zoomScale="55" zoomScaleNormal="55" workbookViewId="0">
      <selection activeCell="BS161" sqref="BS161:BT162"/>
    </sheetView>
  </sheetViews>
  <sheetFormatPr defaultRowHeight="14.4" x14ac:dyDescent="0.3"/>
  <cols>
    <col min="1" max="202" width="1.77734375" customWidth="1"/>
  </cols>
  <sheetData>
    <row r="1" spans="1:202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2"/>
    </row>
    <row r="2" spans="1:202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7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7"/>
      <c r="BH2" s="1"/>
      <c r="BI2" s="1"/>
      <c r="BJ2" s="1"/>
      <c r="BK2" s="1"/>
      <c r="BL2" s="7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7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2"/>
    </row>
    <row r="3" spans="1:20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7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7"/>
      <c r="BH3" s="1"/>
      <c r="BI3" s="1"/>
      <c r="BJ3" s="1"/>
      <c r="BK3" s="1"/>
      <c r="BL3" s="7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7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2"/>
    </row>
    <row r="4" spans="1:20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7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7"/>
      <c r="BH4" s="1"/>
      <c r="BI4" s="1"/>
      <c r="BJ4" s="1"/>
      <c r="BK4" s="1"/>
      <c r="BL4" s="7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7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2"/>
    </row>
    <row r="5" spans="1:20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7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7"/>
      <c r="BH5" s="1"/>
      <c r="BI5" s="1"/>
      <c r="BJ5" s="1"/>
      <c r="BK5" s="1"/>
      <c r="BL5" s="7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7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2"/>
    </row>
    <row r="6" spans="1:20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7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7"/>
      <c r="BH6" s="1"/>
      <c r="BI6" s="1"/>
      <c r="BJ6" s="1"/>
      <c r="BK6" s="1"/>
      <c r="BL6" s="7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7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2"/>
    </row>
    <row r="7" spans="1:20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7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7"/>
      <c r="BH7" s="1"/>
      <c r="BI7" s="1"/>
      <c r="BJ7" s="1"/>
      <c r="BK7" s="1"/>
      <c r="BL7" s="7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7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2"/>
    </row>
    <row r="8" spans="1:20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7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7"/>
      <c r="BH8" s="1"/>
      <c r="BI8" s="1"/>
      <c r="BJ8" s="1"/>
      <c r="BK8" s="1"/>
      <c r="BL8" s="7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7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2"/>
    </row>
    <row r="9" spans="1:20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7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7"/>
      <c r="BH9" s="1"/>
      <c r="BI9" s="1"/>
      <c r="BJ9" s="1"/>
      <c r="BK9" s="1"/>
      <c r="BL9" s="7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7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2"/>
    </row>
    <row r="10" spans="1:20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7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7"/>
      <c r="BH10" s="1"/>
      <c r="BI10" s="1"/>
      <c r="BJ10" s="1"/>
      <c r="BK10" s="1"/>
      <c r="BL10" s="7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7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2"/>
    </row>
    <row r="11" spans="1:20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1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11"/>
      <c r="BG11" s="1"/>
      <c r="BH11" s="1"/>
      <c r="BI11" s="1"/>
      <c r="BJ11" s="1"/>
      <c r="BK11" s="1"/>
      <c r="BL11" s="1"/>
      <c r="BM11" s="11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1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2"/>
    </row>
    <row r="12" spans="1:20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7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7"/>
      <c r="BG12" s="1"/>
      <c r="BH12" s="1"/>
      <c r="BI12" s="1"/>
      <c r="BJ12" s="1"/>
      <c r="BK12" s="1"/>
      <c r="BL12" s="1"/>
      <c r="BM12" s="7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7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2"/>
    </row>
    <row r="13" spans="1:20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7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7"/>
      <c r="BG13" s="1"/>
      <c r="BH13" s="1"/>
      <c r="BI13" s="1"/>
      <c r="BJ13" s="1"/>
      <c r="BK13" s="1"/>
      <c r="BL13" s="1"/>
      <c r="BM13" s="7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7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2"/>
    </row>
    <row r="14" spans="1:20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7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7"/>
      <c r="BG14" s="1"/>
      <c r="BH14" s="1"/>
      <c r="BI14" s="1"/>
      <c r="BJ14" s="1"/>
      <c r="BK14" s="1"/>
      <c r="BL14" s="1"/>
      <c r="BM14" s="7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7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2"/>
    </row>
    <row r="15" spans="1:20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7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7"/>
      <c r="BG15" s="1"/>
      <c r="BH15" s="1"/>
      <c r="BI15" s="1"/>
      <c r="BJ15" s="1"/>
      <c r="BK15" s="1"/>
      <c r="BL15" s="1"/>
      <c r="BM15" s="7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7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2"/>
    </row>
    <row r="16" spans="1:20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7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7"/>
      <c r="BG16" s="1"/>
      <c r="BH16" s="1"/>
      <c r="BI16" s="1"/>
      <c r="BJ16" s="1"/>
      <c r="BK16" s="1"/>
      <c r="BL16" s="1"/>
      <c r="BM16" s="7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7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2"/>
    </row>
    <row r="17" spans="1:20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7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7"/>
      <c r="BG17" s="1"/>
      <c r="BH17" s="1"/>
      <c r="BI17" s="1"/>
      <c r="BJ17" s="1"/>
      <c r="BK17" s="1"/>
      <c r="BL17" s="1"/>
      <c r="BM17" s="7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7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2"/>
    </row>
    <row r="18" spans="1:20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1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11"/>
      <c r="BF18" s="1"/>
      <c r="BG18" s="1"/>
      <c r="BH18" s="1"/>
      <c r="BI18" s="1"/>
      <c r="BJ18" s="1"/>
      <c r="BK18" s="1"/>
      <c r="BL18" s="1"/>
      <c r="BM18" s="1"/>
      <c r="BN18" s="11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1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2"/>
    </row>
    <row r="19" spans="1:20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7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7"/>
      <c r="BF19" s="1"/>
      <c r="BG19" s="1"/>
      <c r="BH19" s="1"/>
      <c r="BI19" s="1"/>
      <c r="BJ19" s="1"/>
      <c r="BK19" s="1"/>
      <c r="BL19" s="1"/>
      <c r="BM19" s="1"/>
      <c r="BN19" s="7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7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2"/>
    </row>
    <row r="20" spans="1:20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7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7"/>
      <c r="BF20" s="1"/>
      <c r="BG20" s="1"/>
      <c r="BH20" s="1"/>
      <c r="BI20" s="1"/>
      <c r="BJ20" s="1"/>
      <c r="BK20" s="1"/>
      <c r="BL20" s="1"/>
      <c r="BM20" s="1"/>
      <c r="BN20" s="7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7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2"/>
    </row>
    <row r="21" spans="1:20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7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7"/>
      <c r="BF21" s="1"/>
      <c r="BG21" s="1"/>
      <c r="BH21" s="1"/>
      <c r="BI21" s="1"/>
      <c r="BJ21" s="1"/>
      <c r="BK21" s="1"/>
      <c r="BL21" s="1"/>
      <c r="BM21" s="1"/>
      <c r="BN21" s="7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7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2"/>
    </row>
    <row r="22" spans="1:20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1"/>
      <c r="AV22" s="29"/>
      <c r="AW22" s="29"/>
      <c r="AX22" s="29"/>
      <c r="AY22" s="29"/>
      <c r="AZ22" s="29"/>
      <c r="BA22" s="29"/>
      <c r="BB22" s="29"/>
      <c r="BC22" s="29"/>
      <c r="BD22" s="1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1"/>
      <c r="BP22" s="29"/>
      <c r="BQ22" s="29"/>
      <c r="BR22" s="29"/>
      <c r="BS22" s="29"/>
      <c r="BT22" s="29"/>
      <c r="BU22" s="29"/>
      <c r="BV22" s="29"/>
      <c r="BW22" s="29"/>
      <c r="BX22" s="1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2"/>
    </row>
    <row r="23" spans="1:20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7"/>
      <c r="AV23" s="29"/>
      <c r="AW23" s="29"/>
      <c r="AX23" s="29"/>
      <c r="AY23" s="29"/>
      <c r="AZ23" s="29"/>
      <c r="BA23" s="29"/>
      <c r="BB23" s="29"/>
      <c r="BC23" s="29"/>
      <c r="BD23" s="7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7"/>
      <c r="BP23" s="29"/>
      <c r="BQ23" s="29"/>
      <c r="BR23" s="29"/>
      <c r="BS23" s="29"/>
      <c r="BT23" s="29"/>
      <c r="BU23" s="29"/>
      <c r="BV23" s="29"/>
      <c r="BW23" s="29"/>
      <c r="BX23" s="7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2"/>
    </row>
    <row r="24" spans="1:20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7"/>
      <c r="AV24" s="29"/>
      <c r="AW24" s="29"/>
      <c r="AX24" s="29"/>
      <c r="AY24" s="29"/>
      <c r="AZ24" s="29"/>
      <c r="BA24" s="29"/>
      <c r="BB24" s="29"/>
      <c r="BC24" s="29"/>
      <c r="BD24" s="7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7"/>
      <c r="BP24" s="29"/>
      <c r="BQ24" s="29"/>
      <c r="BR24" s="29"/>
      <c r="BS24" s="29"/>
      <c r="BT24" s="29"/>
      <c r="BU24" s="29"/>
      <c r="BV24" s="29"/>
      <c r="BW24" s="29"/>
      <c r="BX24" s="7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2"/>
    </row>
    <row r="25" spans="1:20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1"/>
      <c r="AW25" s="29"/>
      <c r="AX25" s="29"/>
      <c r="AY25" s="29"/>
      <c r="AZ25" s="29"/>
      <c r="BA25" s="29"/>
      <c r="BB25" s="29"/>
      <c r="BC25" s="1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1"/>
      <c r="BQ25" s="29"/>
      <c r="BR25" s="29"/>
      <c r="BS25" s="29"/>
      <c r="BT25" s="29"/>
      <c r="BU25" s="29"/>
      <c r="BV25" s="29"/>
      <c r="BW25" s="1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2"/>
    </row>
    <row r="26" spans="1:20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7"/>
      <c r="AW26" s="29"/>
      <c r="AX26" s="29"/>
      <c r="AY26" s="29"/>
      <c r="AZ26" s="29"/>
      <c r="BA26" s="29"/>
      <c r="BB26" s="29"/>
      <c r="BC26" s="7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7"/>
      <c r="BQ26" s="29"/>
      <c r="BR26" s="29"/>
      <c r="BS26" s="29"/>
      <c r="BT26" s="29"/>
      <c r="BU26" s="29"/>
      <c r="BV26" s="29"/>
      <c r="BW26" s="7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2"/>
    </row>
    <row r="27" spans="1:20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1"/>
      <c r="AX27" s="29"/>
      <c r="AY27" s="29"/>
      <c r="AZ27" s="29"/>
      <c r="BA27" s="29"/>
      <c r="BB27" s="1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1"/>
      <c r="BR27" s="29"/>
      <c r="BS27" s="29"/>
      <c r="BT27" s="29"/>
      <c r="BU27" s="29"/>
      <c r="BV27" s="1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2"/>
    </row>
    <row r="28" spans="1:20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1"/>
      <c r="AY28" s="29"/>
      <c r="AZ28" s="29"/>
      <c r="BA28" s="1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1"/>
      <c r="BS28" s="29"/>
      <c r="BT28" s="29"/>
      <c r="BU28" s="1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2"/>
    </row>
    <row r="29" spans="1:20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3"/>
      <c r="AZ29" s="3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3"/>
      <c r="BT29" s="3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2"/>
    </row>
    <row r="30" spans="1:20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2"/>
    </row>
    <row r="31" spans="1:20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2"/>
    </row>
    <row r="32" spans="1:20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2"/>
    </row>
    <row r="33" spans="1:20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2"/>
    </row>
    <row r="34" spans="1:20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2"/>
    </row>
    <row r="35" spans="1:20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2"/>
    </row>
    <row r="36" spans="1:20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2"/>
    </row>
    <row r="37" spans="1:20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2"/>
    </row>
    <row r="38" spans="1:20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2"/>
    </row>
    <row r="39" spans="1:20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2"/>
    </row>
    <row r="40" spans="1:20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2"/>
    </row>
    <row r="41" spans="1:20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2"/>
    </row>
    <row r="42" spans="1:202" ht="4.95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2"/>
    </row>
    <row r="43" spans="1:202" ht="4.95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2"/>
    </row>
    <row r="44" spans="1:202" ht="4.95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2"/>
    </row>
    <row r="45" spans="1:202" ht="4.95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2"/>
    </row>
    <row r="46" spans="1:202" ht="4.95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2"/>
    </row>
    <row r="47" spans="1:202" ht="4.95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2"/>
    </row>
    <row r="48" spans="1:202" ht="4.95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2"/>
    </row>
    <row r="49" spans="1:202" ht="4.95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2"/>
    </row>
    <row r="50" spans="1:202" ht="4.95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2"/>
    </row>
    <row r="51" spans="1:202" ht="4.95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2"/>
    </row>
    <row r="52" spans="1:202" ht="4.95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2"/>
    </row>
    <row r="53" spans="1:202" ht="4.95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2"/>
    </row>
    <row r="54" spans="1:202" ht="4.95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3"/>
      <c r="AZ54" s="3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3"/>
      <c r="BT54" s="3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2"/>
    </row>
    <row r="55" spans="1:202" ht="4.95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1"/>
      <c r="AY55" s="29"/>
      <c r="AZ55" s="29"/>
      <c r="BA55" s="1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1"/>
      <c r="BS55" s="29"/>
      <c r="BT55" s="29"/>
      <c r="BU55" s="1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2"/>
    </row>
    <row r="56" spans="1:202" ht="4.95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1"/>
      <c r="AX56" s="29"/>
      <c r="AY56" s="29"/>
      <c r="AZ56" s="29"/>
      <c r="BA56" s="29"/>
      <c r="BB56" s="1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1"/>
      <c r="BR56" s="29"/>
      <c r="BS56" s="29"/>
      <c r="BT56" s="29"/>
      <c r="BU56" s="29"/>
      <c r="BV56" s="1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2"/>
    </row>
    <row r="57" spans="1:202" ht="4.95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7"/>
      <c r="AW57" s="29"/>
      <c r="AX57" s="29"/>
      <c r="AY57" s="29"/>
      <c r="AZ57" s="29"/>
      <c r="BA57" s="29"/>
      <c r="BB57" s="29"/>
      <c r="BC57" s="7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7"/>
      <c r="BQ57" s="29"/>
      <c r="BR57" s="29"/>
      <c r="BS57" s="29"/>
      <c r="BT57" s="29"/>
      <c r="BU57" s="29"/>
      <c r="BV57" s="29"/>
      <c r="BW57" s="7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2"/>
    </row>
    <row r="58" spans="1:202" ht="4.95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1"/>
      <c r="AW58" s="29"/>
      <c r="AX58" s="29"/>
      <c r="AY58" s="29"/>
      <c r="AZ58" s="29"/>
      <c r="BA58" s="29"/>
      <c r="BB58" s="29"/>
      <c r="BC58" s="1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1"/>
      <c r="BQ58" s="29"/>
      <c r="BR58" s="29"/>
      <c r="BS58" s="29"/>
      <c r="BT58" s="29"/>
      <c r="BU58" s="29"/>
      <c r="BV58" s="29"/>
      <c r="BW58" s="1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2"/>
    </row>
    <row r="59" spans="1:202" ht="4.95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7"/>
      <c r="AV59" s="29"/>
      <c r="AW59" s="29"/>
      <c r="AX59" s="29"/>
      <c r="AY59" s="29"/>
      <c r="AZ59" s="29"/>
      <c r="BA59" s="29"/>
      <c r="BB59" s="29"/>
      <c r="BC59" s="29"/>
      <c r="BD59" s="7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7"/>
      <c r="BP59" s="29"/>
      <c r="BQ59" s="29"/>
      <c r="BR59" s="29"/>
      <c r="BS59" s="29"/>
      <c r="BT59" s="29"/>
      <c r="BU59" s="29"/>
      <c r="BV59" s="29"/>
      <c r="BW59" s="29"/>
      <c r="BX59" s="7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2"/>
    </row>
    <row r="60" spans="1:202" ht="4.95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7"/>
      <c r="AV60" s="29"/>
      <c r="AW60" s="29"/>
      <c r="AX60" s="29"/>
      <c r="AY60" s="29"/>
      <c r="AZ60" s="29"/>
      <c r="BA60" s="29"/>
      <c r="BB60" s="29"/>
      <c r="BC60" s="29"/>
      <c r="BD60" s="7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7"/>
      <c r="BP60" s="29"/>
      <c r="BQ60" s="29"/>
      <c r="BR60" s="29"/>
      <c r="BS60" s="29"/>
      <c r="BT60" s="29"/>
      <c r="BU60" s="29"/>
      <c r="BV60" s="29"/>
      <c r="BW60" s="29"/>
      <c r="BX60" s="7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2"/>
    </row>
    <row r="61" spans="1:202" ht="4.95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1"/>
      <c r="AV61" s="29"/>
      <c r="AW61" s="29"/>
      <c r="AX61" s="29"/>
      <c r="AY61" s="29"/>
      <c r="AZ61" s="29"/>
      <c r="BA61" s="29"/>
      <c r="BB61" s="29"/>
      <c r="BC61" s="29"/>
      <c r="BD61" s="1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1"/>
      <c r="BP61" s="29"/>
      <c r="BQ61" s="29"/>
      <c r="BR61" s="29"/>
      <c r="BS61" s="29"/>
      <c r="BT61" s="29"/>
      <c r="BU61" s="29"/>
      <c r="BV61" s="29"/>
      <c r="BW61" s="29"/>
      <c r="BX61" s="1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2"/>
    </row>
    <row r="62" spans="1:202" ht="4.95" customHeight="1" x14ac:dyDescent="0.3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7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7"/>
      <c r="BF62" s="1"/>
      <c r="BG62" s="1"/>
      <c r="BH62" s="1"/>
      <c r="BI62" s="1"/>
      <c r="BJ62" s="1"/>
      <c r="BK62" s="1"/>
      <c r="BL62" s="1"/>
      <c r="BM62" s="1"/>
      <c r="BN62" s="7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7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2"/>
    </row>
    <row r="63" spans="1:202" ht="4.95" customHeight="1" x14ac:dyDescent="0.3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7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7"/>
      <c r="BF63" s="1"/>
      <c r="BG63" s="1"/>
      <c r="BH63" s="1"/>
      <c r="BI63" s="1"/>
      <c r="BJ63" s="1"/>
      <c r="BK63" s="1"/>
      <c r="BL63" s="1"/>
      <c r="BM63" s="1"/>
      <c r="BN63" s="7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7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2"/>
    </row>
    <row r="64" spans="1:202" ht="4.95" customHeight="1" x14ac:dyDescent="0.3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7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7"/>
      <c r="BF64" s="1"/>
      <c r="BG64" s="1"/>
      <c r="BH64" s="1"/>
      <c r="BI64" s="1"/>
      <c r="BJ64" s="1"/>
      <c r="BK64" s="1"/>
      <c r="BL64" s="1"/>
      <c r="BM64" s="1"/>
      <c r="BN64" s="7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7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2"/>
    </row>
    <row r="65" spans="1:202" ht="4.95" customHeight="1" x14ac:dyDescent="0.3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1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11"/>
      <c r="BF65" s="1"/>
      <c r="BG65" s="1"/>
      <c r="BH65" s="1"/>
      <c r="BI65" s="1"/>
      <c r="BJ65" s="1"/>
      <c r="BK65" s="1"/>
      <c r="BL65" s="1"/>
      <c r="BM65" s="1"/>
      <c r="BN65" s="11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1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2"/>
    </row>
    <row r="66" spans="1:202" ht="4.95" customHeight="1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7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7"/>
      <c r="BG66" s="1"/>
      <c r="BH66" s="1"/>
      <c r="BI66" s="1"/>
      <c r="BJ66" s="1"/>
      <c r="BK66" s="1"/>
      <c r="BL66" s="1"/>
      <c r="BM66" s="7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7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2"/>
    </row>
    <row r="67" spans="1:202" ht="4.95" customHeight="1" x14ac:dyDescent="0.3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7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7"/>
      <c r="BG67" s="1"/>
      <c r="BH67" s="1"/>
      <c r="BI67" s="1"/>
      <c r="BJ67" s="1"/>
      <c r="BK67" s="1"/>
      <c r="BL67" s="1"/>
      <c r="BM67" s="7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7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2"/>
    </row>
    <row r="68" spans="1:202" ht="4.95" customHeight="1" x14ac:dyDescent="0.3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7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7"/>
      <c r="BG68" s="1"/>
      <c r="BH68" s="1"/>
      <c r="BI68" s="1"/>
      <c r="BJ68" s="1"/>
      <c r="BK68" s="1"/>
      <c r="BL68" s="1"/>
      <c r="BM68" s="7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7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2"/>
    </row>
    <row r="69" spans="1:202" ht="4.95" customHeight="1" x14ac:dyDescent="0.3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7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7"/>
      <c r="BG69" s="1"/>
      <c r="BH69" s="1"/>
      <c r="BI69" s="1"/>
      <c r="BJ69" s="1"/>
      <c r="BK69" s="1"/>
      <c r="BL69" s="1"/>
      <c r="BM69" s="7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7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2"/>
    </row>
    <row r="70" spans="1:202" ht="4.95" customHeight="1" x14ac:dyDescent="0.3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7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7"/>
      <c r="BG70" s="1"/>
      <c r="BH70" s="1"/>
      <c r="BI70" s="1"/>
      <c r="BJ70" s="1"/>
      <c r="BK70" s="1"/>
      <c r="BL70" s="1"/>
      <c r="BM70" s="7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7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2"/>
    </row>
    <row r="71" spans="1:202" ht="4.95" customHeight="1" x14ac:dyDescent="0.3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7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7"/>
      <c r="BG71" s="1"/>
      <c r="BH71" s="1"/>
      <c r="BI71" s="1"/>
      <c r="BJ71" s="1"/>
      <c r="BK71" s="1"/>
      <c r="BL71" s="1"/>
      <c r="BM71" s="7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7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2"/>
    </row>
    <row r="72" spans="1:202" ht="4.95" customHeight="1" x14ac:dyDescent="0.3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1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11"/>
      <c r="BG72" s="1"/>
      <c r="BH72" s="1"/>
      <c r="BI72" s="1"/>
      <c r="BJ72" s="1"/>
      <c r="BK72" s="1"/>
      <c r="BL72" s="1"/>
      <c r="BM72" s="11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1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2"/>
    </row>
    <row r="73" spans="1:202" ht="4.95" customHeight="1" x14ac:dyDescent="0.3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7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7"/>
      <c r="BH73" s="1"/>
      <c r="BI73" s="1"/>
      <c r="BJ73" s="1"/>
      <c r="BK73" s="1"/>
      <c r="BL73" s="7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7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2"/>
    </row>
    <row r="74" spans="1:202" ht="4.95" customHeight="1" x14ac:dyDescent="0.3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7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7"/>
      <c r="BH74" s="1"/>
      <c r="BI74" s="1"/>
      <c r="BJ74" s="1"/>
      <c r="BK74" s="1"/>
      <c r="BL74" s="7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7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2"/>
    </row>
    <row r="75" spans="1:202" ht="4.95" customHeight="1" x14ac:dyDescent="0.3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7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7"/>
      <c r="BH75" s="1"/>
      <c r="BI75" s="1"/>
      <c r="BJ75" s="1"/>
      <c r="BK75" s="1"/>
      <c r="BL75" s="7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7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2"/>
    </row>
    <row r="76" spans="1:202" ht="4.95" customHeight="1" x14ac:dyDescent="0.3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7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7"/>
      <c r="BH76" s="1"/>
      <c r="BI76" s="1"/>
      <c r="BJ76" s="1"/>
      <c r="BK76" s="1"/>
      <c r="BL76" s="7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7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2"/>
    </row>
    <row r="77" spans="1:202" ht="4.95" customHeight="1" x14ac:dyDescent="0.3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7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7"/>
      <c r="BH77" s="1"/>
      <c r="BI77" s="1"/>
      <c r="BJ77" s="1"/>
      <c r="BK77" s="1"/>
      <c r="BL77" s="7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7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2"/>
    </row>
    <row r="78" spans="1:202" ht="4.95" customHeight="1" x14ac:dyDescent="0.3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7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7"/>
      <c r="BH78" s="1"/>
      <c r="BI78" s="1"/>
      <c r="BJ78" s="1"/>
      <c r="BK78" s="1"/>
      <c r="BL78" s="7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7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2"/>
    </row>
    <row r="79" spans="1:202" ht="4.95" customHeight="1" x14ac:dyDescent="0.3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7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7"/>
      <c r="BH79" s="1"/>
      <c r="BI79" s="1"/>
      <c r="BJ79" s="1"/>
      <c r="BK79" s="1"/>
      <c r="BL79" s="7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7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2"/>
    </row>
    <row r="80" spans="1:202" ht="4.95" customHeight="1" x14ac:dyDescent="0.3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7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7"/>
      <c r="BH80" s="1"/>
      <c r="BI80" s="1"/>
      <c r="BJ80" s="1"/>
      <c r="BK80" s="1"/>
      <c r="BL80" s="7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7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2"/>
    </row>
    <row r="81" spans="1:202" ht="4.95" customHeight="1" x14ac:dyDescent="0.3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7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7"/>
      <c r="BH81" s="1"/>
      <c r="BI81" s="1"/>
      <c r="BJ81" s="1"/>
      <c r="BK81" s="1"/>
      <c r="BL81" s="7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7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2"/>
    </row>
    <row r="82" spans="1:202" ht="4.95" customHeight="1" x14ac:dyDescent="0.3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7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7"/>
      <c r="BH82" s="1"/>
      <c r="BI82" s="1"/>
      <c r="BJ82" s="1"/>
      <c r="BK82" s="1"/>
      <c r="BL82" s="7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7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2"/>
    </row>
    <row r="83" spans="1:202" ht="4.95" customHeight="1" x14ac:dyDescent="0.3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7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7"/>
      <c r="BH83" s="1"/>
      <c r="BI83" s="1"/>
      <c r="BJ83" s="1"/>
      <c r="BK83" s="1"/>
      <c r="BL83" s="7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7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2"/>
    </row>
    <row r="84" spans="1:202" ht="4.95" customHeight="1" x14ac:dyDescent="0.3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7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7"/>
      <c r="BH84" s="1"/>
      <c r="BI84" s="1"/>
      <c r="BJ84" s="1"/>
      <c r="BK84" s="1"/>
      <c r="BL84" s="7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7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2"/>
    </row>
    <row r="85" spans="1:202" ht="4.95" customHeight="1" x14ac:dyDescent="0.3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7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7"/>
      <c r="BH85" s="1"/>
      <c r="BI85" s="1"/>
      <c r="BJ85" s="1"/>
      <c r="BK85" s="1"/>
      <c r="BL85" s="7"/>
      <c r="BM85" s="29"/>
      <c r="BN85" s="29"/>
      <c r="BO85" s="29"/>
      <c r="BP85" s="29"/>
      <c r="BQ85" s="29"/>
      <c r="BR85" s="29"/>
      <c r="BS85" s="29"/>
      <c r="BT85" s="29"/>
      <c r="BU85" s="29"/>
      <c r="BV85" s="29"/>
      <c r="BW85" s="29"/>
      <c r="BX85" s="29"/>
      <c r="BY85" s="29"/>
      <c r="BZ85" s="29"/>
      <c r="CA85" s="7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2"/>
    </row>
    <row r="86" spans="1:202" ht="4.95" customHeight="1" x14ac:dyDescent="0.3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7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7"/>
      <c r="BH86" s="1"/>
      <c r="BI86" s="1"/>
      <c r="BJ86" s="1"/>
      <c r="BK86" s="1"/>
      <c r="BL86" s="7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7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2"/>
    </row>
    <row r="87" spans="1:202" ht="4.95" customHeight="1" x14ac:dyDescent="0.3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7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7"/>
      <c r="BH87" s="1"/>
      <c r="BI87" s="1"/>
      <c r="BJ87" s="1"/>
      <c r="BK87" s="1"/>
      <c r="BL87" s="7"/>
      <c r="BM87" s="29"/>
      <c r="BN87" s="29"/>
      <c r="BO87" s="29"/>
      <c r="BP87" s="2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7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2"/>
    </row>
    <row r="88" spans="1:202" ht="4.95" customHeight="1" x14ac:dyDescent="0.3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7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7"/>
      <c r="BH88" s="1"/>
      <c r="BI88" s="1"/>
      <c r="BJ88" s="1"/>
      <c r="BK88" s="1"/>
      <c r="BL88" s="7"/>
      <c r="BM88" s="29"/>
      <c r="BN88" s="29"/>
      <c r="BO88" s="29"/>
      <c r="BP88" s="29"/>
      <c r="BQ88" s="29"/>
      <c r="BR88" s="29"/>
      <c r="BS88" s="29"/>
      <c r="BT88" s="29"/>
      <c r="BU88" s="29"/>
      <c r="BV88" s="29"/>
      <c r="BW88" s="29"/>
      <c r="BX88" s="29"/>
      <c r="BY88" s="29"/>
      <c r="BZ88" s="29"/>
      <c r="CA88" s="7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2"/>
    </row>
    <row r="89" spans="1:202" ht="4.95" customHeight="1" x14ac:dyDescent="0.3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7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7"/>
      <c r="BH89" s="1"/>
      <c r="BI89" s="1"/>
      <c r="BJ89" s="1"/>
      <c r="BK89" s="1"/>
      <c r="BL89" s="7"/>
      <c r="BM89" s="29"/>
      <c r="BN89" s="29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7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2"/>
    </row>
    <row r="90" spans="1:202" ht="4.95" customHeight="1" x14ac:dyDescent="0.3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7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7"/>
      <c r="BH90" s="1"/>
      <c r="BI90" s="1"/>
      <c r="BJ90" s="1"/>
      <c r="BK90" s="1"/>
      <c r="BL90" s="7"/>
      <c r="BM90" s="29"/>
      <c r="BN90" s="29"/>
      <c r="BO90" s="29"/>
      <c r="BP90" s="2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7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2"/>
    </row>
    <row r="91" spans="1:202" ht="4.95" customHeight="1" x14ac:dyDescent="0.3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1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11"/>
      <c r="BG91" s="1"/>
      <c r="BH91" s="1"/>
      <c r="BI91" s="1"/>
      <c r="BJ91" s="1"/>
      <c r="BK91" s="1"/>
      <c r="BL91" s="1"/>
      <c r="BM91" s="11"/>
      <c r="BN91" s="29"/>
      <c r="BO91" s="29"/>
      <c r="BP91" s="29"/>
      <c r="BQ91" s="29"/>
      <c r="BR91" s="29"/>
      <c r="BS91" s="29"/>
      <c r="BT91" s="29"/>
      <c r="BU91" s="29"/>
      <c r="BV91" s="29"/>
      <c r="BW91" s="29"/>
      <c r="BX91" s="29"/>
      <c r="BY91" s="29"/>
      <c r="BZ91" s="1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2"/>
    </row>
    <row r="92" spans="1:202" ht="4.95" customHeight="1" x14ac:dyDescent="0.3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7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7"/>
      <c r="BG92" s="1"/>
      <c r="BH92" s="1"/>
      <c r="BI92" s="1"/>
      <c r="BJ92" s="1"/>
      <c r="BK92" s="1"/>
      <c r="BL92" s="1"/>
      <c r="BM92" s="7"/>
      <c r="BN92" s="29"/>
      <c r="BO92" s="29"/>
      <c r="BP92" s="29"/>
      <c r="BQ92" s="29"/>
      <c r="BR92" s="29"/>
      <c r="BS92" s="29"/>
      <c r="BT92" s="29"/>
      <c r="BU92" s="29"/>
      <c r="BV92" s="29"/>
      <c r="BW92" s="29"/>
      <c r="BX92" s="29"/>
      <c r="BY92" s="29"/>
      <c r="BZ92" s="7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2"/>
    </row>
    <row r="93" spans="1:202" ht="4.95" customHeight="1" x14ac:dyDescent="0.3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7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7"/>
      <c r="BG93" s="1"/>
      <c r="BH93" s="1"/>
      <c r="BI93" s="1"/>
      <c r="BJ93" s="1"/>
      <c r="BK93" s="1"/>
      <c r="BL93" s="1"/>
      <c r="BM93" s="7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7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2"/>
    </row>
    <row r="94" spans="1:202" ht="4.95" customHeight="1" x14ac:dyDescent="0.3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7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7"/>
      <c r="BG94" s="1"/>
      <c r="BH94" s="1"/>
      <c r="BI94" s="1"/>
      <c r="BJ94" s="1"/>
      <c r="BK94" s="1"/>
      <c r="BL94" s="1"/>
      <c r="BM94" s="7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7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2"/>
    </row>
    <row r="95" spans="1:202" ht="4.95" customHeight="1" x14ac:dyDescent="0.3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7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7"/>
      <c r="BG95" s="1"/>
      <c r="BH95" s="1"/>
      <c r="BI95" s="1"/>
      <c r="BJ95" s="1"/>
      <c r="BK95" s="1"/>
      <c r="BL95" s="1"/>
      <c r="BM95" s="7"/>
      <c r="BN95" s="29"/>
      <c r="BO95" s="29"/>
      <c r="BP95" s="29"/>
      <c r="BQ95" s="29"/>
      <c r="BR95" s="29"/>
      <c r="BS95" s="29"/>
      <c r="BT95" s="29"/>
      <c r="BU95" s="29"/>
      <c r="BV95" s="29"/>
      <c r="BW95" s="29"/>
      <c r="BX95" s="29"/>
      <c r="BY95" s="29"/>
      <c r="BZ95" s="7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2"/>
    </row>
    <row r="96" spans="1:202" ht="4.95" customHeight="1" x14ac:dyDescent="0.3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7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7"/>
      <c r="BG96" s="1"/>
      <c r="BH96" s="1"/>
      <c r="BI96" s="1"/>
      <c r="BJ96" s="1"/>
      <c r="BK96" s="1"/>
      <c r="BL96" s="1"/>
      <c r="BM96" s="7"/>
      <c r="BN96" s="29"/>
      <c r="BO96" s="29"/>
      <c r="BP96" s="29"/>
      <c r="BQ96" s="29"/>
      <c r="BR96" s="29"/>
      <c r="BS96" s="29"/>
      <c r="BT96" s="29"/>
      <c r="BU96" s="29"/>
      <c r="BV96" s="29"/>
      <c r="BW96" s="29"/>
      <c r="BX96" s="29"/>
      <c r="BY96" s="29"/>
      <c r="BZ96" s="7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2"/>
    </row>
    <row r="97" spans="1:202" ht="4.95" customHeight="1" x14ac:dyDescent="0.3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7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7"/>
      <c r="BG97" s="1"/>
      <c r="BH97" s="1"/>
      <c r="BI97" s="1"/>
      <c r="BJ97" s="1"/>
      <c r="BK97" s="1"/>
      <c r="BL97" s="1"/>
      <c r="BM97" s="7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7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2"/>
    </row>
    <row r="98" spans="1:202" ht="4.95" customHeight="1" x14ac:dyDescent="0.3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1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11"/>
      <c r="BF98" s="1"/>
      <c r="BG98" s="1"/>
      <c r="BH98" s="1"/>
      <c r="BI98" s="1"/>
      <c r="BJ98" s="1"/>
      <c r="BK98" s="1"/>
      <c r="BL98" s="1"/>
      <c r="BM98" s="1"/>
      <c r="BN98" s="11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1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2"/>
    </row>
    <row r="99" spans="1:202" ht="4.95" customHeight="1" x14ac:dyDescent="0.3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7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7"/>
      <c r="BF99" s="1"/>
      <c r="BG99" s="1"/>
      <c r="BH99" s="1"/>
      <c r="BI99" s="1"/>
      <c r="BJ99" s="1"/>
      <c r="BK99" s="1"/>
      <c r="BL99" s="1"/>
      <c r="BM99" s="1"/>
      <c r="BN99" s="7"/>
      <c r="BO99" s="29"/>
      <c r="BP99" s="29"/>
      <c r="BQ99" s="29"/>
      <c r="BR99" s="29"/>
      <c r="BS99" s="29"/>
      <c r="BT99" s="29"/>
      <c r="BU99" s="29"/>
      <c r="BV99" s="29"/>
      <c r="BW99" s="29"/>
      <c r="BX99" s="29"/>
      <c r="BY99" s="7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2"/>
    </row>
    <row r="100" spans="1:202" ht="4.95" customHeight="1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7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7"/>
      <c r="BF100" s="1"/>
      <c r="BG100" s="1"/>
      <c r="BH100" s="1"/>
      <c r="BI100" s="1"/>
      <c r="BJ100" s="1"/>
      <c r="BK100" s="1"/>
      <c r="BL100" s="1"/>
      <c r="BM100" s="1"/>
      <c r="BN100" s="7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7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2"/>
    </row>
    <row r="101" spans="1:202" ht="4.95" customHeight="1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7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7"/>
      <c r="BF101" s="1"/>
      <c r="BG101" s="1"/>
      <c r="BH101" s="1"/>
      <c r="BI101" s="1"/>
      <c r="BJ101" s="1"/>
      <c r="BK101" s="1"/>
      <c r="BL101" s="1"/>
      <c r="BM101" s="1"/>
      <c r="BN101" s="7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7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2"/>
    </row>
    <row r="102" spans="1:202" ht="4.95" customHeight="1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1"/>
      <c r="AV102" s="29"/>
      <c r="AW102" s="29"/>
      <c r="AX102" s="29"/>
      <c r="AY102" s="29"/>
      <c r="AZ102" s="29"/>
      <c r="BA102" s="29"/>
      <c r="BB102" s="29"/>
      <c r="BC102" s="29"/>
      <c r="BD102" s="1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1"/>
      <c r="BP102" s="29"/>
      <c r="BQ102" s="29"/>
      <c r="BR102" s="29"/>
      <c r="BS102" s="29"/>
      <c r="BT102" s="29"/>
      <c r="BU102" s="29"/>
      <c r="BV102" s="29"/>
      <c r="BW102" s="29"/>
      <c r="BX102" s="1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2"/>
    </row>
    <row r="103" spans="1:202" ht="4.95" customHeight="1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7"/>
      <c r="AV103" s="29"/>
      <c r="AW103" s="29"/>
      <c r="AX103" s="29"/>
      <c r="AY103" s="29"/>
      <c r="AZ103" s="29"/>
      <c r="BA103" s="29"/>
      <c r="BB103" s="29"/>
      <c r="BC103" s="29"/>
      <c r="BD103" s="7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7"/>
      <c r="BP103" s="29"/>
      <c r="BQ103" s="29"/>
      <c r="BR103" s="29"/>
      <c r="BS103" s="29"/>
      <c r="BT103" s="29"/>
      <c r="BU103" s="29"/>
      <c r="BV103" s="29"/>
      <c r="BW103" s="29"/>
      <c r="BX103" s="7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2"/>
    </row>
    <row r="104" spans="1:202" ht="4.95" customHeight="1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7"/>
      <c r="AV104" s="29"/>
      <c r="AW104" s="29"/>
      <c r="AX104" s="29"/>
      <c r="AY104" s="29"/>
      <c r="AZ104" s="29"/>
      <c r="BA104" s="29"/>
      <c r="BB104" s="29"/>
      <c r="BC104" s="29"/>
      <c r="BD104" s="7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7"/>
      <c r="BP104" s="29"/>
      <c r="BQ104" s="29"/>
      <c r="BR104" s="29"/>
      <c r="BS104" s="29"/>
      <c r="BT104" s="29"/>
      <c r="BU104" s="29"/>
      <c r="BV104" s="29"/>
      <c r="BW104" s="29"/>
      <c r="BX104" s="7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2"/>
    </row>
    <row r="105" spans="1:202" ht="4.95" customHeight="1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1"/>
      <c r="AW105" s="29"/>
      <c r="AX105" s="29"/>
      <c r="AY105" s="29"/>
      <c r="AZ105" s="29"/>
      <c r="BA105" s="29"/>
      <c r="BB105" s="29"/>
      <c r="BC105" s="1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1"/>
      <c r="BQ105" s="29"/>
      <c r="BR105" s="29"/>
      <c r="BS105" s="29"/>
      <c r="BT105" s="29"/>
      <c r="BU105" s="29"/>
      <c r="BV105" s="29"/>
      <c r="BW105" s="1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2"/>
    </row>
    <row r="106" spans="1:202" ht="4.95" customHeight="1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7"/>
      <c r="AW106" s="29"/>
      <c r="AX106" s="29"/>
      <c r="AY106" s="29"/>
      <c r="AZ106" s="29"/>
      <c r="BA106" s="29"/>
      <c r="BB106" s="29"/>
      <c r="BC106" s="7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7"/>
      <c r="BQ106" s="29"/>
      <c r="BR106" s="29"/>
      <c r="BS106" s="29"/>
      <c r="BT106" s="29"/>
      <c r="BU106" s="29"/>
      <c r="BV106" s="29"/>
      <c r="BW106" s="7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2"/>
    </row>
    <row r="107" spans="1:202" ht="4.95" customHeight="1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1"/>
      <c r="AX107" s="29"/>
      <c r="AY107" s="29"/>
      <c r="AZ107" s="29"/>
      <c r="BA107" s="29"/>
      <c r="BB107" s="1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1"/>
      <c r="BR107" s="29"/>
      <c r="BS107" s="29"/>
      <c r="BT107" s="29"/>
      <c r="BU107" s="29"/>
      <c r="BV107" s="1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2"/>
    </row>
    <row r="108" spans="1:202" ht="4.95" customHeight="1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1"/>
      <c r="AY108" s="29"/>
      <c r="AZ108" s="29"/>
      <c r="BA108" s="1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1"/>
      <c r="BS108" s="29"/>
      <c r="BT108" s="29"/>
      <c r="BU108" s="1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2"/>
    </row>
    <row r="109" spans="1:202" ht="4.95" customHeight="1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3"/>
      <c r="AZ109" s="3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3"/>
      <c r="BT109" s="3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2"/>
    </row>
    <row r="110" spans="1:202" ht="4.95" customHeight="1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2"/>
    </row>
    <row r="111" spans="1:202" ht="4.95" customHeight="1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2"/>
    </row>
    <row r="112" spans="1:202" ht="4.95" customHeight="1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2"/>
    </row>
    <row r="113" spans="1:202" ht="4.95" customHeight="1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2"/>
    </row>
    <row r="114" spans="1:202" ht="4.95" customHeight="1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2"/>
    </row>
    <row r="115" spans="1:202" ht="4.95" customHeight="1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2"/>
    </row>
    <row r="116" spans="1:202" ht="4.95" customHeight="1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2"/>
    </row>
    <row r="117" spans="1:202" ht="4.95" customHeight="1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2"/>
    </row>
    <row r="118" spans="1:202" ht="4.95" customHeight="1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2"/>
    </row>
    <row r="119" spans="1:202" ht="4.95" customHeight="1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2"/>
    </row>
    <row r="120" spans="1:202" ht="4.95" customHeight="1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2"/>
    </row>
    <row r="121" spans="1:202" ht="4.95" customHeight="1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2"/>
    </row>
    <row r="122" spans="1:202" ht="4.95" customHeight="1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2"/>
    </row>
    <row r="123" spans="1:202" ht="4.95" customHeight="1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2"/>
    </row>
    <row r="124" spans="1:202" ht="4.95" customHeight="1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2"/>
    </row>
    <row r="125" spans="1:202" ht="4.95" customHeight="1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2"/>
    </row>
    <row r="126" spans="1:202" ht="4.95" customHeight="1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2"/>
    </row>
    <row r="127" spans="1:202" ht="4.95" customHeight="1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2"/>
    </row>
    <row r="128" spans="1:202" ht="4.95" customHeight="1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2"/>
    </row>
    <row r="129" spans="1:202" ht="4.95" customHeight="1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2"/>
    </row>
    <row r="130" spans="1:202" ht="4.95" customHeight="1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2"/>
    </row>
    <row r="131" spans="1:202" ht="4.95" customHeight="1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2"/>
    </row>
    <row r="132" spans="1:202" ht="4.95" customHeight="1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2"/>
    </row>
    <row r="133" spans="1:202" ht="4.95" customHeight="1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2"/>
    </row>
    <row r="134" spans="1:202" ht="4.95" customHeight="1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3"/>
      <c r="AZ134" s="3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3"/>
      <c r="BT134" s="3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2"/>
    </row>
    <row r="135" spans="1:202" ht="4.95" customHeight="1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1"/>
      <c r="AY135" s="29"/>
      <c r="AZ135" s="29"/>
      <c r="BA135" s="1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1"/>
      <c r="BS135" s="29"/>
      <c r="BT135" s="29"/>
      <c r="BU135" s="1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2"/>
    </row>
    <row r="136" spans="1:202" ht="4.95" customHeight="1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1"/>
      <c r="AX136" s="29"/>
      <c r="AY136" s="29"/>
      <c r="AZ136" s="29"/>
      <c r="BA136" s="29"/>
      <c r="BB136" s="1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1"/>
      <c r="BR136" s="29"/>
      <c r="BS136" s="29"/>
      <c r="BT136" s="29"/>
      <c r="BU136" s="29"/>
      <c r="BV136" s="1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2"/>
    </row>
    <row r="137" spans="1:202" ht="4.95" customHeight="1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7"/>
      <c r="AW137" s="29"/>
      <c r="AX137" s="29"/>
      <c r="AY137" s="29"/>
      <c r="AZ137" s="29"/>
      <c r="BA137" s="29"/>
      <c r="BB137" s="29"/>
      <c r="BC137" s="7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7"/>
      <c r="BQ137" s="29"/>
      <c r="BR137" s="29"/>
      <c r="BS137" s="29"/>
      <c r="BT137" s="29"/>
      <c r="BU137" s="29"/>
      <c r="BV137" s="29"/>
      <c r="BW137" s="7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2"/>
    </row>
    <row r="138" spans="1:202" ht="4.95" customHeight="1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1"/>
      <c r="AW138" s="29"/>
      <c r="AX138" s="29"/>
      <c r="AY138" s="29"/>
      <c r="AZ138" s="29"/>
      <c r="BA138" s="29"/>
      <c r="BB138" s="29"/>
      <c r="BC138" s="1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1"/>
      <c r="BQ138" s="29"/>
      <c r="BR138" s="29"/>
      <c r="BS138" s="29"/>
      <c r="BT138" s="29"/>
      <c r="BU138" s="29"/>
      <c r="BV138" s="29"/>
      <c r="BW138" s="1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2"/>
    </row>
    <row r="139" spans="1:202" ht="4.95" customHeight="1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7"/>
      <c r="AV139" s="29"/>
      <c r="AW139" s="29"/>
      <c r="AX139" s="29"/>
      <c r="AY139" s="29"/>
      <c r="AZ139" s="29"/>
      <c r="BA139" s="29"/>
      <c r="BB139" s="29"/>
      <c r="BC139" s="29"/>
      <c r="BD139" s="7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7"/>
      <c r="BP139" s="29"/>
      <c r="BQ139" s="29"/>
      <c r="BR139" s="29"/>
      <c r="BS139" s="29"/>
      <c r="BT139" s="29"/>
      <c r="BU139" s="29"/>
      <c r="BV139" s="29"/>
      <c r="BW139" s="29"/>
      <c r="BX139" s="7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2"/>
    </row>
    <row r="140" spans="1:202" ht="4.95" customHeight="1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7"/>
      <c r="AV140" s="29"/>
      <c r="AW140" s="29"/>
      <c r="AX140" s="29"/>
      <c r="AY140" s="29"/>
      <c r="AZ140" s="29"/>
      <c r="BA140" s="29"/>
      <c r="BB140" s="29"/>
      <c r="BC140" s="29"/>
      <c r="BD140" s="7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7"/>
      <c r="BP140" s="29"/>
      <c r="BQ140" s="29"/>
      <c r="BR140" s="29"/>
      <c r="BS140" s="29"/>
      <c r="BT140" s="29"/>
      <c r="BU140" s="29"/>
      <c r="BV140" s="29"/>
      <c r="BW140" s="29"/>
      <c r="BX140" s="7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2"/>
    </row>
    <row r="141" spans="1:202" ht="4.95" customHeight="1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1"/>
      <c r="AV141" s="29"/>
      <c r="AW141" s="29"/>
      <c r="AX141" s="29"/>
      <c r="AY141" s="29"/>
      <c r="AZ141" s="29"/>
      <c r="BA141" s="29"/>
      <c r="BB141" s="29"/>
      <c r="BC141" s="29"/>
      <c r="BD141" s="1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1"/>
      <c r="BP141" s="29"/>
      <c r="BQ141" s="29"/>
      <c r="BR141" s="29"/>
      <c r="BS141" s="29"/>
      <c r="BT141" s="29"/>
      <c r="BU141" s="29"/>
      <c r="BV141" s="29"/>
      <c r="BW141" s="29"/>
      <c r="BX141" s="1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2"/>
    </row>
    <row r="142" spans="1:202" ht="4.95" customHeight="1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7"/>
      <c r="AU142" s="29"/>
      <c r="AV142" s="29"/>
      <c r="AW142" s="29"/>
      <c r="AX142" s="29"/>
      <c r="AY142" s="29"/>
      <c r="AZ142" s="29"/>
      <c r="BA142" s="29"/>
      <c r="BB142" s="29"/>
      <c r="BC142" s="29"/>
      <c r="BD142" s="29"/>
      <c r="BE142" s="7"/>
      <c r="BF142" s="1"/>
      <c r="BG142" s="1"/>
      <c r="BH142" s="1"/>
      <c r="BI142" s="1"/>
      <c r="BJ142" s="1"/>
      <c r="BK142" s="1"/>
      <c r="BL142" s="1"/>
      <c r="BM142" s="1"/>
      <c r="BN142" s="7"/>
      <c r="BO142" s="29"/>
      <c r="BP142" s="29"/>
      <c r="BQ142" s="29"/>
      <c r="BR142" s="29"/>
      <c r="BS142" s="29"/>
      <c r="BT142" s="29"/>
      <c r="BU142" s="29"/>
      <c r="BV142" s="29"/>
      <c r="BW142" s="29"/>
      <c r="BX142" s="29"/>
      <c r="BY142" s="7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2"/>
    </row>
    <row r="143" spans="1:202" ht="4.95" customHeight="1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7"/>
      <c r="AU143" s="29"/>
      <c r="AV143" s="29"/>
      <c r="AW143" s="29"/>
      <c r="AX143" s="29"/>
      <c r="AY143" s="29"/>
      <c r="AZ143" s="29"/>
      <c r="BA143" s="29"/>
      <c r="BB143" s="29"/>
      <c r="BC143" s="29"/>
      <c r="BD143" s="29"/>
      <c r="BE143" s="7"/>
      <c r="BF143" s="1"/>
      <c r="BG143" s="1"/>
      <c r="BH143" s="1"/>
      <c r="BI143" s="1"/>
      <c r="BJ143" s="1"/>
      <c r="BK143" s="1"/>
      <c r="BL143" s="1"/>
      <c r="BM143" s="1"/>
      <c r="BN143" s="7"/>
      <c r="BO143" s="29"/>
      <c r="BP143" s="29"/>
      <c r="BQ143" s="29"/>
      <c r="BR143" s="29"/>
      <c r="BS143" s="29"/>
      <c r="BT143" s="29"/>
      <c r="BU143" s="29"/>
      <c r="BV143" s="29"/>
      <c r="BW143" s="29"/>
      <c r="BX143" s="29"/>
      <c r="BY143" s="7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2"/>
    </row>
    <row r="144" spans="1:202" ht="4.95" customHeight="1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7"/>
      <c r="AU144" s="29"/>
      <c r="AV144" s="29"/>
      <c r="AW144" s="29"/>
      <c r="AX144" s="29"/>
      <c r="AY144" s="29"/>
      <c r="AZ144" s="29"/>
      <c r="BA144" s="29"/>
      <c r="BB144" s="29"/>
      <c r="BC144" s="29"/>
      <c r="BD144" s="29"/>
      <c r="BE144" s="7"/>
      <c r="BF144" s="1"/>
      <c r="BG144" s="1"/>
      <c r="BH144" s="1"/>
      <c r="BI144" s="1"/>
      <c r="BJ144" s="1"/>
      <c r="BK144" s="1"/>
      <c r="BL144" s="1"/>
      <c r="BM144" s="1"/>
      <c r="BN144" s="7"/>
      <c r="BO144" s="29"/>
      <c r="BP144" s="29"/>
      <c r="BQ144" s="29"/>
      <c r="BR144" s="29"/>
      <c r="BS144" s="29"/>
      <c r="BT144" s="29"/>
      <c r="BU144" s="29"/>
      <c r="BV144" s="29"/>
      <c r="BW144" s="29"/>
      <c r="BX144" s="29"/>
      <c r="BY144" s="7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2"/>
    </row>
    <row r="145" spans="1:202" ht="4.95" customHeight="1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1"/>
      <c r="AU145" s="29"/>
      <c r="AV145" s="29"/>
      <c r="AW145" s="29"/>
      <c r="AX145" s="29"/>
      <c r="AY145" s="29"/>
      <c r="AZ145" s="29"/>
      <c r="BA145" s="29"/>
      <c r="BB145" s="29"/>
      <c r="BC145" s="29"/>
      <c r="BD145" s="29"/>
      <c r="BE145" s="11"/>
      <c r="BF145" s="1"/>
      <c r="BG145" s="1"/>
      <c r="BH145" s="1"/>
      <c r="BI145" s="1"/>
      <c r="BJ145" s="1"/>
      <c r="BK145" s="1"/>
      <c r="BL145" s="1"/>
      <c r="BM145" s="1"/>
      <c r="BN145" s="11"/>
      <c r="BO145" s="29"/>
      <c r="BP145" s="29"/>
      <c r="BQ145" s="29"/>
      <c r="BR145" s="29"/>
      <c r="BS145" s="29"/>
      <c r="BT145" s="29"/>
      <c r="BU145" s="29"/>
      <c r="BV145" s="29"/>
      <c r="BW145" s="29"/>
      <c r="BX145" s="29"/>
      <c r="BY145" s="1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2"/>
    </row>
    <row r="146" spans="1:202" ht="4.95" customHeight="1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7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  <c r="BD146" s="29"/>
      <c r="BE146" s="29"/>
      <c r="BF146" s="7"/>
      <c r="BG146" s="1"/>
      <c r="BH146" s="1"/>
      <c r="BI146" s="1"/>
      <c r="BJ146" s="1"/>
      <c r="BK146" s="1"/>
      <c r="BL146" s="1"/>
      <c r="BM146" s="7"/>
      <c r="BN146" s="29"/>
      <c r="BO146" s="29"/>
      <c r="BP146" s="29"/>
      <c r="BQ146" s="29"/>
      <c r="BR146" s="29"/>
      <c r="BS146" s="29"/>
      <c r="BT146" s="29"/>
      <c r="BU146" s="29"/>
      <c r="BV146" s="29"/>
      <c r="BW146" s="29"/>
      <c r="BX146" s="29"/>
      <c r="BY146" s="29"/>
      <c r="BZ146" s="7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2"/>
    </row>
    <row r="147" spans="1:202" ht="4.95" customHeight="1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7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  <c r="BD147" s="29"/>
      <c r="BE147" s="29"/>
      <c r="BF147" s="7"/>
      <c r="BG147" s="1"/>
      <c r="BH147" s="1"/>
      <c r="BI147" s="1"/>
      <c r="BJ147" s="1"/>
      <c r="BK147" s="1"/>
      <c r="BL147" s="1"/>
      <c r="BM147" s="7"/>
      <c r="BN147" s="29"/>
      <c r="BO147" s="29"/>
      <c r="BP147" s="29"/>
      <c r="BQ147" s="29"/>
      <c r="BR147" s="29"/>
      <c r="BS147" s="29"/>
      <c r="BT147" s="29"/>
      <c r="BU147" s="29"/>
      <c r="BV147" s="29"/>
      <c r="BW147" s="29"/>
      <c r="BX147" s="29"/>
      <c r="BY147" s="29"/>
      <c r="BZ147" s="7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2"/>
    </row>
    <row r="148" spans="1:202" ht="4.95" customHeight="1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7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  <c r="BD148" s="29"/>
      <c r="BE148" s="29"/>
      <c r="BF148" s="7"/>
      <c r="BG148" s="1"/>
      <c r="BH148" s="1"/>
      <c r="BI148" s="1"/>
      <c r="BJ148" s="1"/>
      <c r="BK148" s="1"/>
      <c r="BL148" s="1"/>
      <c r="BM148" s="7"/>
      <c r="BN148" s="29"/>
      <c r="BO148" s="29"/>
      <c r="BP148" s="29"/>
      <c r="BQ148" s="29"/>
      <c r="BR148" s="29"/>
      <c r="BS148" s="29"/>
      <c r="BT148" s="29"/>
      <c r="BU148" s="29"/>
      <c r="BV148" s="29"/>
      <c r="BW148" s="29"/>
      <c r="BX148" s="29"/>
      <c r="BY148" s="29"/>
      <c r="BZ148" s="7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2"/>
    </row>
    <row r="149" spans="1:202" ht="4.95" customHeight="1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7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  <c r="BD149" s="29"/>
      <c r="BE149" s="29"/>
      <c r="BF149" s="7"/>
      <c r="BG149" s="1"/>
      <c r="BH149" s="1"/>
      <c r="BI149" s="1"/>
      <c r="BJ149" s="1"/>
      <c r="BK149" s="1"/>
      <c r="BL149" s="1"/>
      <c r="BM149" s="7"/>
      <c r="BN149" s="29"/>
      <c r="BO149" s="29"/>
      <c r="BP149" s="29"/>
      <c r="BQ149" s="29"/>
      <c r="BR149" s="29"/>
      <c r="BS149" s="29"/>
      <c r="BT149" s="29"/>
      <c r="BU149" s="29"/>
      <c r="BV149" s="29"/>
      <c r="BW149" s="29"/>
      <c r="BX149" s="29"/>
      <c r="BY149" s="29"/>
      <c r="BZ149" s="7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2"/>
    </row>
    <row r="150" spans="1:202" ht="4.95" customHeight="1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7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  <c r="BD150" s="29"/>
      <c r="BE150" s="29"/>
      <c r="BF150" s="7"/>
      <c r="BG150" s="1"/>
      <c r="BH150" s="1"/>
      <c r="BI150" s="1"/>
      <c r="BJ150" s="1"/>
      <c r="BK150" s="1"/>
      <c r="BL150" s="1"/>
      <c r="BM150" s="7"/>
      <c r="BN150" s="29"/>
      <c r="BO150" s="29"/>
      <c r="BP150" s="29"/>
      <c r="BQ150" s="29"/>
      <c r="BR150" s="29"/>
      <c r="BS150" s="29"/>
      <c r="BT150" s="29"/>
      <c r="BU150" s="29"/>
      <c r="BV150" s="29"/>
      <c r="BW150" s="29"/>
      <c r="BX150" s="29"/>
      <c r="BY150" s="29"/>
      <c r="BZ150" s="7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2"/>
    </row>
    <row r="151" spans="1:202" ht="4.95" customHeight="1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7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  <c r="BD151" s="29"/>
      <c r="BE151" s="29"/>
      <c r="BF151" s="7"/>
      <c r="BG151" s="1"/>
      <c r="BH151" s="1"/>
      <c r="BI151" s="1"/>
      <c r="BJ151" s="1"/>
      <c r="BK151" s="1"/>
      <c r="BL151" s="1"/>
      <c r="BM151" s="7"/>
      <c r="BN151" s="29"/>
      <c r="BO151" s="29"/>
      <c r="BP151" s="29"/>
      <c r="BQ151" s="29"/>
      <c r="BR151" s="29"/>
      <c r="BS151" s="29"/>
      <c r="BT151" s="29"/>
      <c r="BU151" s="29"/>
      <c r="BV151" s="29"/>
      <c r="BW151" s="29"/>
      <c r="BX151" s="29"/>
      <c r="BY151" s="29"/>
      <c r="BZ151" s="7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2"/>
    </row>
    <row r="152" spans="1:202" ht="4.95" customHeight="1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1"/>
      <c r="AT152" s="29"/>
      <c r="AU152" s="29"/>
      <c r="AV152" s="29"/>
      <c r="AW152" s="29"/>
      <c r="AX152" s="29"/>
      <c r="AY152" s="29"/>
      <c r="AZ152" s="29"/>
      <c r="BA152" s="29"/>
      <c r="BB152" s="29"/>
      <c r="BC152" s="29"/>
      <c r="BD152" s="29"/>
      <c r="BE152" s="29"/>
      <c r="BF152" s="11"/>
      <c r="BG152" s="1"/>
      <c r="BH152" s="1"/>
      <c r="BI152" s="1"/>
      <c r="BJ152" s="1"/>
      <c r="BK152" s="1"/>
      <c r="BL152" s="1"/>
      <c r="BM152" s="11"/>
      <c r="BN152" s="29"/>
      <c r="BO152" s="29"/>
      <c r="BP152" s="29"/>
      <c r="BQ152" s="29"/>
      <c r="BR152" s="29"/>
      <c r="BS152" s="29"/>
      <c r="BT152" s="29"/>
      <c r="BU152" s="29"/>
      <c r="BV152" s="29"/>
      <c r="BW152" s="29"/>
      <c r="BX152" s="29"/>
      <c r="BY152" s="29"/>
      <c r="BZ152" s="1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2"/>
    </row>
    <row r="153" spans="1:202" ht="4.95" customHeight="1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7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7"/>
      <c r="BH153" s="1"/>
      <c r="BI153" s="1"/>
      <c r="BJ153" s="1"/>
      <c r="BK153" s="1"/>
      <c r="BL153" s="7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7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2"/>
    </row>
    <row r="154" spans="1:202" ht="4.95" customHeight="1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7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  <c r="BC154" s="29"/>
      <c r="BD154" s="29"/>
      <c r="BE154" s="29"/>
      <c r="BF154" s="29"/>
      <c r="BG154" s="7"/>
      <c r="BH154" s="1"/>
      <c r="BI154" s="1"/>
      <c r="BJ154" s="1"/>
      <c r="BK154" s="1"/>
      <c r="BL154" s="7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29"/>
      <c r="BX154" s="29"/>
      <c r="BY154" s="29"/>
      <c r="BZ154" s="29"/>
      <c r="CA154" s="7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2"/>
    </row>
    <row r="155" spans="1:202" ht="4.95" customHeight="1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7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7"/>
      <c r="BH155" s="1"/>
      <c r="BI155" s="1"/>
      <c r="BJ155" s="1"/>
      <c r="BK155" s="1"/>
      <c r="BL155" s="7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7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2"/>
    </row>
    <row r="156" spans="1:202" ht="4.95" customHeight="1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7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7"/>
      <c r="BH156" s="1"/>
      <c r="BI156" s="1"/>
      <c r="BJ156" s="1"/>
      <c r="BK156" s="1"/>
      <c r="BL156" s="7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7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2"/>
    </row>
    <row r="157" spans="1:202" ht="4.95" customHeight="1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7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  <c r="BD157" s="29"/>
      <c r="BE157" s="29"/>
      <c r="BF157" s="29"/>
      <c r="BG157" s="7"/>
      <c r="BH157" s="1"/>
      <c r="BI157" s="1"/>
      <c r="BJ157" s="1"/>
      <c r="BK157" s="1"/>
      <c r="BL157" s="7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29"/>
      <c r="BX157" s="29"/>
      <c r="BY157" s="29"/>
      <c r="BZ157" s="29"/>
      <c r="CA157" s="7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2"/>
    </row>
    <row r="158" spans="1:202" ht="4.95" customHeight="1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7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7"/>
      <c r="BH158" s="1"/>
      <c r="BI158" s="1"/>
      <c r="BJ158" s="1"/>
      <c r="BK158" s="1"/>
      <c r="BL158" s="7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7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2"/>
    </row>
    <row r="159" spans="1:202" ht="4.95" customHeight="1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7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7"/>
      <c r="BH159" s="1"/>
      <c r="BI159" s="1"/>
      <c r="BJ159" s="1"/>
      <c r="BK159" s="1"/>
      <c r="BL159" s="7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7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2"/>
    </row>
    <row r="160" spans="1:202" ht="4.95" customHeight="1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7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7"/>
      <c r="BH160" s="1"/>
      <c r="BI160" s="1"/>
      <c r="BJ160" s="1"/>
      <c r="BK160" s="1"/>
      <c r="BL160" s="7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29"/>
      <c r="BX160" s="29"/>
      <c r="BY160" s="29"/>
      <c r="BZ160" s="29"/>
      <c r="CA160" s="7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2"/>
    </row>
    <row r="161" spans="1:202" ht="4.95" customHeight="1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7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7"/>
      <c r="BH161" s="1"/>
      <c r="BI161" s="1"/>
      <c r="BJ161" s="1"/>
      <c r="BK161" s="1"/>
      <c r="BL161" s="7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7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2"/>
    </row>
    <row r="162" spans="1:202" ht="4.95" customHeight="1" x14ac:dyDescent="0.3">
      <c r="A162" s="2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J10" sqref="J10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1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0.8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200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160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28" t="s">
        <v>8</v>
      </c>
      <c r="H13" s="28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0.1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5.0000000000000002E-5</v>
      </c>
      <c r="H19" s="23"/>
    </row>
    <row r="20" spans="2:12" x14ac:dyDescent="0.3">
      <c r="C20" s="21"/>
      <c r="D20" s="21"/>
      <c r="E20" s="21"/>
      <c r="F20" s="21"/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</row>
    <row r="24" spans="2:12" x14ac:dyDescent="0.3">
      <c r="B24" t="s">
        <v>50</v>
      </c>
      <c r="C24" s="8" t="s">
        <v>56</v>
      </c>
      <c r="E24" t="s">
        <v>54</v>
      </c>
      <c r="F24" s="9">
        <f>0.25*C$27</f>
        <v>0.25</v>
      </c>
      <c r="H24" s="9">
        <f>F24+IF(C24="Square",C31,SQRT(C31^2 - (C31/2)^2))</f>
        <v>0.35</v>
      </c>
    </row>
    <row r="25" spans="2:12" x14ac:dyDescent="0.3">
      <c r="B25" t="s">
        <v>52</v>
      </c>
      <c r="C25" s="8">
        <v>1.5</v>
      </c>
      <c r="D25" t="s">
        <v>57</v>
      </c>
      <c r="E25" t="s">
        <v>55</v>
      </c>
      <c r="F25" s="9">
        <v>0</v>
      </c>
      <c r="G25" s="23"/>
      <c r="H25" s="9">
        <f>IF(C24="Square",F25,C31/2)</f>
        <v>0</v>
      </c>
    </row>
    <row r="26" spans="2:12" x14ac:dyDescent="0.3">
      <c r="F26" s="26"/>
      <c r="G26" s="26"/>
      <c r="H26" s="26"/>
    </row>
    <row r="27" spans="2:12" x14ac:dyDescent="0.3">
      <c r="B27" t="s">
        <v>0</v>
      </c>
      <c r="C27" s="27">
        <f>C3</f>
        <v>1</v>
      </c>
      <c r="D27" t="s">
        <v>11</v>
      </c>
      <c r="E27" t="s">
        <v>54</v>
      </c>
      <c r="F27" s="9">
        <f>0.25*C$27</f>
        <v>0.25</v>
      </c>
      <c r="H27" s="9">
        <f>H24</f>
        <v>0.35</v>
      </c>
    </row>
    <row r="28" spans="2:12" x14ac:dyDescent="0.3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</v>
      </c>
    </row>
    <row r="30" spans="2:12" x14ac:dyDescent="0.3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0.25</v>
      </c>
      <c r="H30" s="9">
        <f>IF(C24="Square",F30+C$31,"None")</f>
        <v>0.35</v>
      </c>
    </row>
    <row r="31" spans="2:12" x14ac:dyDescent="0.3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>
        <f>IF(C24="Square",F31,"None")</f>
        <v>0.2</v>
      </c>
    </row>
    <row r="33" spans="2:4" x14ac:dyDescent="0.3">
      <c r="B33" t="s">
        <v>58</v>
      </c>
      <c r="C33" s="8">
        <f>C3/C6</f>
        <v>5.0000000000000001E-3</v>
      </c>
      <c r="D33" t="s">
        <v>60</v>
      </c>
    </row>
    <row r="34" spans="2:4" x14ac:dyDescent="0.3">
      <c r="B34" t="s">
        <v>59</v>
      </c>
      <c r="C34" s="8">
        <f>C4/C7</f>
        <v>1.25E-3</v>
      </c>
      <c r="D34" t="s">
        <v>60</v>
      </c>
    </row>
  </sheetData>
  <mergeCells count="1">
    <mergeCell ref="G13:H13"/>
  </mergeCells>
  <dataValidations disablePrompts="1"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129540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2018-04-11T14:05:18Z</dcterms:modified>
</cp:coreProperties>
</file>