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60" windowWidth="11925" windowHeight="10065"/>
  </bookViews>
  <sheets>
    <sheet name="Constraints" sheetId="1" r:id="rId1"/>
    <sheet name="Grid settings" sheetId="2" r:id="rId2"/>
    <sheet name="Fluid properties" sheetId="3" r:id="rId3"/>
  </sheets>
  <calcPr calcId="145621"/>
</workbook>
</file>

<file path=xl/calcChain.xml><?xml version="1.0" encoding="utf-8"?>
<calcChain xmlns="http://schemas.openxmlformats.org/spreadsheetml/2006/main">
  <c r="C6" i="2" l="1"/>
  <c r="K26" i="2" s="1"/>
  <c r="C34" i="2" l="1"/>
  <c r="C33" i="2"/>
  <c r="C28" i="2"/>
  <c r="C31" i="2" s="1"/>
  <c r="F28" i="2" s="1"/>
  <c r="C27" i="2"/>
  <c r="F27" i="2" l="1"/>
  <c r="F24" i="2"/>
  <c r="H24" i="2" s="1"/>
  <c r="F31" i="2"/>
  <c r="H31" i="2" s="1"/>
  <c r="F30" i="2"/>
  <c r="H25" i="2"/>
  <c r="C5" i="2" l="1"/>
  <c r="K17" i="2" l="1"/>
  <c r="K16" i="2"/>
  <c r="K15" i="2"/>
  <c r="K14" i="2"/>
  <c r="H30" i="2"/>
  <c r="H28" i="2"/>
  <c r="C30" i="2"/>
  <c r="H27" i="2" l="1"/>
</calcChain>
</file>

<file path=xl/sharedStrings.xml><?xml version="1.0" encoding="utf-8"?>
<sst xmlns="http://schemas.openxmlformats.org/spreadsheetml/2006/main" count="88" uniqueCount="64">
  <si>
    <t>XMAX</t>
  </si>
  <si>
    <t>YMAX</t>
  </si>
  <si>
    <t>NPI</t>
  </si>
  <si>
    <t>NPJ</t>
  </si>
  <si>
    <t>Grid Settings</t>
  </si>
  <si>
    <t>relax_u</t>
  </si>
  <si>
    <t>relax_T</t>
  </si>
  <si>
    <t>solver</t>
  </si>
  <si>
    <t>solve</t>
  </si>
  <si>
    <t>MAX_ITER</t>
  </si>
  <si>
    <t>Temperature and Velocity</t>
  </si>
  <si>
    <t>[m]</t>
  </si>
  <si>
    <t>[K]</t>
  </si>
  <si>
    <t>[m/s]</t>
  </si>
  <si>
    <t>U_ITER</t>
  </si>
  <si>
    <t>V_ITER</t>
  </si>
  <si>
    <t>PC_ITER</t>
  </si>
  <si>
    <t>EPS_ITER</t>
  </si>
  <si>
    <t>K_ITER</t>
  </si>
  <si>
    <t>Relaxation and Iteration</t>
  </si>
  <si>
    <t>T_ITER</t>
  </si>
  <si>
    <t>Legend</t>
  </si>
  <si>
    <t>yplus in u direction</t>
  </si>
  <si>
    <t>yplus in v direction</t>
  </si>
  <si>
    <t>yplus in both directions</t>
  </si>
  <si>
    <t>Gamma</t>
  </si>
  <si>
    <t>Dt</t>
  </si>
  <si>
    <t>Fluid properties</t>
  </si>
  <si>
    <t>Solver</t>
  </si>
  <si>
    <t>U_IN</t>
  </si>
  <si>
    <t>Fluid</t>
  </si>
  <si>
    <t>Air</t>
  </si>
  <si>
    <t>Water</t>
  </si>
  <si>
    <t>density</t>
  </si>
  <si>
    <t>viscosity</t>
  </si>
  <si>
    <t>Thermal conductivity</t>
  </si>
  <si>
    <t>[J/kg/K]</t>
  </si>
  <si>
    <t>Specific heat</t>
  </si>
  <si>
    <t>[kg/m^3]</t>
  </si>
  <si>
    <t>[Pa*s]</t>
  </si>
  <si>
    <t>[W/m/K]</t>
  </si>
  <si>
    <t>NPJ / NPI</t>
  </si>
  <si>
    <t>both u, v fixed, adiabatic</t>
  </si>
  <si>
    <t>both u, v fixed, T is T</t>
  </si>
  <si>
    <t>T0</t>
  </si>
  <si>
    <t>T objects</t>
  </si>
  <si>
    <t>Full slip wall</t>
  </si>
  <si>
    <t xml:space="preserve"> </t>
  </si>
  <si>
    <t>HE Layout</t>
  </si>
  <si>
    <t>Row 1</t>
  </si>
  <si>
    <t>Layout</t>
  </si>
  <si>
    <t>Row 2</t>
  </si>
  <si>
    <t>pitch</t>
  </si>
  <si>
    <t>tube diam (D)</t>
  </si>
  <si>
    <t>x</t>
  </si>
  <si>
    <t>y</t>
  </si>
  <si>
    <t>*D</t>
  </si>
  <si>
    <t>DX</t>
  </si>
  <si>
    <t>DY</t>
  </si>
  <si>
    <t>[m / cell]</t>
  </si>
  <si>
    <t>Max time</t>
  </si>
  <si>
    <t>Debug</t>
  </si>
  <si>
    <t>Quarant kental</t>
  </si>
  <si>
    <t>Square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</si>
</sst>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11"/>
      <color rgb="FF1F497D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4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1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1" diagonalDown="1">
      <left/>
      <right/>
      <top/>
      <bottom/>
      <diagonal style="thin">
        <color auto="1"/>
      </diagonal>
    </border>
  </borders>
  <cellStyleXfs count="3">
    <xf numFmtId="0" fontId="0" fillId="0" borderId="0"/>
    <xf numFmtId="0" fontId="2" fillId="6" borderId="3" applyNumberFormat="0" applyAlignment="0" applyProtection="0"/>
    <xf numFmtId="0" fontId="3" fillId="7" borderId="3" applyNumberFormat="0" applyAlignment="0" applyProtection="0"/>
  </cellStyleXfs>
  <cellXfs count="34">
    <xf numFmtId="0" fontId="0" fillId="0" borderId="0" xfId="0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1" fillId="0" borderId="2" xfId="0" applyFont="1" applyBorder="1"/>
    <xf numFmtId="0" fontId="0" fillId="0" borderId="2" xfId="0" applyBorder="1"/>
    <xf numFmtId="0" fontId="0" fillId="4" borderId="1" xfId="0" applyFill="1" applyBorder="1"/>
    <xf numFmtId="0" fontId="0" fillId="5" borderId="1" xfId="0" applyFill="1" applyBorder="1"/>
    <xf numFmtId="0" fontId="2" fillId="6" borderId="3" xfId="1"/>
    <xf numFmtId="0" fontId="3" fillId="7" borderId="3" xfId="2"/>
    <xf numFmtId="2" fontId="2" fillId="6" borderId="3" xfId="1" applyNumberFormat="1"/>
    <xf numFmtId="0" fontId="0" fillId="8" borderId="1" xfId="0" applyFill="1" applyBorder="1"/>
    <xf numFmtId="0" fontId="1" fillId="0" borderId="0" xfId="0" applyFont="1" applyBorder="1"/>
    <xf numFmtId="0" fontId="0" fillId="9" borderId="1" xfId="0" applyFill="1" applyBorder="1"/>
    <xf numFmtId="0" fontId="0" fillId="0" borderId="0" xfId="0" applyBorder="1"/>
    <xf numFmtId="11" fontId="0" fillId="0" borderId="0" xfId="0" applyNumberFormat="1"/>
    <xf numFmtId="0" fontId="0" fillId="0" borderId="0" xfId="0" applyBorder="1" applyAlignment="1"/>
    <xf numFmtId="0" fontId="2" fillId="6" borderId="3" xfId="1" applyAlignment="1"/>
    <xf numFmtId="0" fontId="0" fillId="10" borderId="1" xfId="0" applyFill="1" applyBorder="1"/>
    <xf numFmtId="2" fontId="0" fillId="0" borderId="2" xfId="0" applyNumberFormat="1" applyFill="1" applyBorder="1"/>
    <xf numFmtId="0" fontId="0" fillId="0" borderId="2" xfId="0" applyFill="1" applyBorder="1"/>
    <xf numFmtId="0" fontId="0" fillId="0" borderId="0" xfId="0" applyFill="1"/>
    <xf numFmtId="0" fontId="1" fillId="0" borderId="2" xfId="0" applyFont="1" applyFill="1" applyBorder="1"/>
    <xf numFmtId="0" fontId="0" fillId="0" borderId="0" xfId="0" applyFill="1" applyBorder="1"/>
    <xf numFmtId="0" fontId="4" fillId="0" borderId="0" xfId="0" applyFont="1" applyFill="1"/>
    <xf numFmtId="0" fontId="0" fillId="0" borderId="4" xfId="0" applyFill="1" applyBorder="1"/>
    <xf numFmtId="0" fontId="3" fillId="0" borderId="0" xfId="2" applyFill="1" applyBorder="1"/>
    <xf numFmtId="2" fontId="3" fillId="7" borderId="3" xfId="2" applyNumberFormat="1"/>
    <xf numFmtId="0" fontId="4" fillId="0" borderId="0" xfId="0" applyFont="1"/>
    <xf numFmtId="0" fontId="0" fillId="11" borderId="0" xfId="0" applyFill="1"/>
    <xf numFmtId="0" fontId="0" fillId="12" borderId="1" xfId="0" applyFill="1" applyBorder="1"/>
    <xf numFmtId="0" fontId="7" fillId="0" borderId="0" xfId="0" applyFont="1"/>
    <xf numFmtId="2" fontId="0" fillId="0" borderId="0" xfId="0" applyNumberFormat="1"/>
    <xf numFmtId="0" fontId="2" fillId="6" borderId="3" xfId="1" applyAlignment="1">
      <alignment horizontal="center"/>
    </xf>
  </cellXfs>
  <cellStyles count="3">
    <cellStyle name="Calculation" xfId="2" builtinId="22"/>
    <cellStyle name="Input" xfId="1" builtinId="20"/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C8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K$2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9525</xdr:rowOff>
        </xdr:from>
        <xdr:to>
          <xdr:col>4</xdr:col>
          <xdr:colOff>0</xdr:colOff>
          <xdr:row>6</xdr:row>
          <xdr:rowOff>171450</xdr:rowOff>
        </xdr:to>
        <xdr:sp macro="" textlink="">
          <xdr:nvSpPr>
            <xdr:cNvPr id="2049" name="Knop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(re)set grid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7</xdr:row>
          <xdr:rowOff>0</xdr:rowOff>
        </xdr:from>
        <xdr:to>
          <xdr:col>8</xdr:col>
          <xdr:colOff>9525</xdr:colOff>
          <xdr:row>8</xdr:row>
          <xdr:rowOff>171450</xdr:rowOff>
        </xdr:to>
        <xdr:sp macro="" textlink="">
          <xdr:nvSpPr>
            <xdr:cNvPr id="2052" name="Knop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Drop atomic bomb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152400</xdr:rowOff>
        </xdr:from>
        <xdr:to>
          <xdr:col>4</xdr:col>
          <xdr:colOff>0</xdr:colOff>
          <xdr:row>8</xdr:row>
          <xdr:rowOff>19050</xdr:rowOff>
        </xdr:to>
        <xdr:sp macro="" textlink="">
          <xdr:nvSpPr>
            <xdr:cNvPr id="2053" name="Selectievakje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Apply no-slip walls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21</xdr:row>
          <xdr:rowOff>0</xdr:rowOff>
        </xdr:from>
        <xdr:to>
          <xdr:col>7</xdr:col>
          <xdr:colOff>133350</xdr:colOff>
          <xdr:row>22</xdr:row>
          <xdr:rowOff>0</xdr:rowOff>
        </xdr:to>
        <xdr:sp macro="" textlink="">
          <xdr:nvSpPr>
            <xdr:cNvPr id="2057" name="Knop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Apply pattern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22</xdr:row>
          <xdr:rowOff>0</xdr:rowOff>
        </xdr:from>
        <xdr:to>
          <xdr:col>9</xdr:col>
          <xdr:colOff>962025</xdr:colOff>
          <xdr:row>23</xdr:row>
          <xdr:rowOff>19050</xdr:rowOff>
        </xdr:to>
        <xdr:sp macro="" textlink="">
          <xdr:nvSpPr>
            <xdr:cNvPr id="2060" name="Selectievakje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TURN OFF YPLUS 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SH102"/>
  <sheetViews>
    <sheetView tabSelected="1" zoomScale="62" zoomScaleNormal="62" workbookViewId="0">
      <selection activeCell="FT101" sqref="FT101:FU102"/>
    </sheetView>
  </sheetViews>
  <sheetFormatPr defaultRowHeight="15" x14ac:dyDescent="0.25"/>
  <cols>
    <col min="1" max="502" width="0.7109375" customWidth="1"/>
  </cols>
  <sheetData>
    <row r="1" spans="1:502" ht="5.0999999999999996" customHeight="1" x14ac:dyDescent="0.25">
      <c r="A1" s="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  <c r="EP1" s="13"/>
      <c r="EQ1" s="13"/>
      <c r="ER1" s="13"/>
      <c r="ES1" s="13"/>
      <c r="ET1" s="13"/>
      <c r="EU1" s="13"/>
      <c r="EV1" s="13"/>
      <c r="EW1" s="13"/>
      <c r="EX1" s="13"/>
      <c r="EY1" s="13"/>
      <c r="EZ1" s="13"/>
      <c r="FA1" s="13"/>
      <c r="FB1" s="13"/>
      <c r="FC1" s="13"/>
      <c r="FD1" s="13"/>
      <c r="FE1" s="13"/>
      <c r="FF1" s="13"/>
      <c r="FG1" s="13"/>
      <c r="FH1" s="13"/>
      <c r="FI1" s="13"/>
      <c r="FJ1" s="13"/>
      <c r="FK1" s="13"/>
      <c r="FL1" s="13"/>
      <c r="FM1" s="13"/>
      <c r="FN1" s="13"/>
      <c r="FO1" s="13"/>
      <c r="FP1" s="13"/>
      <c r="FQ1" s="13"/>
      <c r="FR1" s="13"/>
      <c r="FS1" s="13"/>
      <c r="FT1" s="13"/>
      <c r="FU1" s="13"/>
      <c r="FV1" s="13"/>
      <c r="FW1" s="13"/>
      <c r="FX1" s="13"/>
      <c r="FY1" s="13"/>
      <c r="FZ1" s="13"/>
      <c r="GA1" s="13"/>
      <c r="GB1" s="13"/>
      <c r="GC1" s="13"/>
      <c r="GD1" s="13"/>
      <c r="GE1" s="13"/>
      <c r="GF1" s="13"/>
      <c r="GG1" s="13"/>
      <c r="GH1" s="13"/>
      <c r="GI1" s="13"/>
      <c r="GJ1" s="13"/>
      <c r="GK1" s="13"/>
      <c r="GL1" s="13"/>
      <c r="GM1" s="13"/>
      <c r="GN1" s="13"/>
      <c r="GO1" s="13"/>
      <c r="GP1" s="13"/>
      <c r="GQ1" s="13"/>
      <c r="GR1" s="13"/>
      <c r="GS1" s="13"/>
      <c r="GT1" s="13"/>
      <c r="GU1" s="13"/>
      <c r="GV1" s="13"/>
      <c r="GW1" s="13"/>
      <c r="GX1" s="13"/>
      <c r="GY1" s="13"/>
      <c r="GZ1" s="13"/>
      <c r="HA1" s="13"/>
      <c r="HB1" s="13"/>
      <c r="HC1" s="13"/>
      <c r="HD1" s="13"/>
      <c r="HE1" s="13"/>
      <c r="HF1" s="13"/>
      <c r="HG1" s="13"/>
      <c r="HH1" s="13"/>
      <c r="HI1" s="13"/>
      <c r="HJ1" s="13"/>
      <c r="HK1" s="13"/>
      <c r="HL1" s="13"/>
      <c r="HM1" s="13"/>
      <c r="HN1" s="13"/>
      <c r="HO1" s="13"/>
      <c r="HP1" s="13"/>
      <c r="HQ1" s="13"/>
      <c r="HR1" s="13"/>
      <c r="HS1" s="13"/>
      <c r="HT1" s="13"/>
      <c r="HU1" s="13"/>
      <c r="HV1" s="13"/>
      <c r="HW1" s="13"/>
      <c r="HX1" s="13"/>
      <c r="HY1" s="13"/>
      <c r="HZ1" s="13"/>
      <c r="IA1" s="13"/>
      <c r="IB1" s="13"/>
      <c r="IC1" s="13"/>
      <c r="ID1" s="13"/>
      <c r="IE1" s="13"/>
      <c r="IF1" s="13"/>
      <c r="IG1" s="13"/>
      <c r="IH1" s="13"/>
      <c r="II1" s="13"/>
      <c r="IJ1" s="13"/>
      <c r="IK1" s="13"/>
      <c r="IL1" s="13"/>
      <c r="IM1" s="13"/>
      <c r="IN1" s="13"/>
      <c r="IO1" s="13"/>
      <c r="IP1" s="13"/>
      <c r="IQ1" s="13"/>
      <c r="IR1" s="13"/>
      <c r="IS1" s="13"/>
      <c r="IT1" s="13"/>
      <c r="IU1" s="13"/>
      <c r="IV1" s="13"/>
      <c r="IW1" s="13"/>
      <c r="IX1" s="13"/>
      <c r="IY1" s="13"/>
      <c r="IZ1" s="13"/>
      <c r="JA1" s="13"/>
      <c r="JB1" s="13"/>
      <c r="JC1" s="13"/>
      <c r="JD1" s="13"/>
      <c r="JE1" s="13"/>
      <c r="JF1" s="13"/>
      <c r="JG1" s="13"/>
      <c r="JH1" s="13"/>
      <c r="JI1" s="13"/>
      <c r="JJ1" s="13"/>
      <c r="JK1" s="13"/>
      <c r="JL1" s="13"/>
      <c r="JM1" s="13"/>
      <c r="JN1" s="13"/>
      <c r="JO1" s="13"/>
      <c r="JP1" s="13"/>
      <c r="JQ1" s="13"/>
      <c r="JR1" s="13"/>
      <c r="JS1" s="13"/>
      <c r="JT1" s="13"/>
      <c r="JU1" s="13"/>
      <c r="JV1" s="13"/>
      <c r="JW1" s="13"/>
      <c r="JX1" s="13"/>
      <c r="JY1" s="13"/>
      <c r="JZ1" s="13"/>
      <c r="KA1" s="13"/>
      <c r="KB1" s="13"/>
      <c r="KC1" s="13"/>
      <c r="KD1" s="13"/>
      <c r="KE1" s="13"/>
      <c r="KF1" s="13"/>
      <c r="KG1" s="13"/>
      <c r="KH1" s="13"/>
      <c r="KI1" s="13"/>
      <c r="KJ1" s="13"/>
      <c r="KK1" s="13"/>
      <c r="KL1" s="13"/>
      <c r="KM1" s="13"/>
      <c r="KN1" s="13"/>
      <c r="KO1" s="13"/>
      <c r="KP1" s="13"/>
      <c r="KQ1" s="13"/>
      <c r="KR1" s="13"/>
      <c r="KS1" s="13"/>
      <c r="KT1" s="13"/>
      <c r="KU1" s="13"/>
      <c r="KV1" s="13"/>
      <c r="KW1" s="13"/>
      <c r="KX1" s="13"/>
      <c r="KY1" s="13"/>
      <c r="KZ1" s="13"/>
      <c r="LA1" s="13"/>
      <c r="LB1" s="13"/>
      <c r="LC1" s="13"/>
      <c r="LD1" s="13"/>
      <c r="LE1" s="13"/>
      <c r="LF1" s="13"/>
      <c r="LG1" s="13"/>
      <c r="LH1" s="13"/>
      <c r="LI1" s="13"/>
      <c r="LJ1" s="13"/>
      <c r="LK1" s="13"/>
      <c r="LL1" s="13"/>
      <c r="LM1" s="13"/>
      <c r="LN1" s="13"/>
      <c r="LO1" s="13"/>
      <c r="LP1" s="13"/>
      <c r="LQ1" s="13"/>
      <c r="LR1" s="13"/>
      <c r="LS1" s="13"/>
      <c r="LT1" s="13"/>
      <c r="LU1" s="13"/>
      <c r="LV1" s="13"/>
      <c r="LW1" s="13"/>
      <c r="LX1" s="13"/>
      <c r="LY1" s="13"/>
      <c r="LZ1" s="13"/>
      <c r="MA1" s="13"/>
      <c r="MB1" s="13"/>
      <c r="MC1" s="13"/>
      <c r="MD1" s="13"/>
      <c r="ME1" s="13"/>
      <c r="MF1" s="13"/>
      <c r="MG1" s="13"/>
      <c r="MH1" s="13"/>
      <c r="MI1" s="13"/>
      <c r="MJ1" s="13"/>
      <c r="MK1" s="13"/>
      <c r="ML1" s="13"/>
      <c r="MM1" s="13"/>
      <c r="MN1" s="13"/>
      <c r="MO1" s="13"/>
      <c r="MP1" s="13"/>
      <c r="MQ1" s="13"/>
      <c r="MR1" s="13"/>
      <c r="MS1" s="13"/>
      <c r="MT1" s="13"/>
      <c r="MU1" s="13"/>
      <c r="MV1" s="13"/>
      <c r="MW1" s="13"/>
      <c r="MX1" s="13"/>
      <c r="MY1" s="13"/>
      <c r="MZ1" s="13"/>
      <c r="NA1" s="13"/>
      <c r="NB1" s="13"/>
      <c r="NC1" s="13"/>
      <c r="ND1" s="13"/>
      <c r="NE1" s="13"/>
      <c r="NF1" s="13"/>
      <c r="NG1" s="13"/>
      <c r="NH1" s="13"/>
      <c r="NI1" s="13"/>
      <c r="NJ1" s="13"/>
      <c r="NK1" s="13"/>
      <c r="NL1" s="13"/>
      <c r="NM1" s="13"/>
      <c r="NN1" s="13"/>
      <c r="NO1" s="13"/>
      <c r="NP1" s="13"/>
      <c r="NQ1" s="13"/>
      <c r="NR1" s="13"/>
      <c r="NS1" s="13"/>
      <c r="NT1" s="13"/>
      <c r="NU1" s="13"/>
      <c r="NV1" s="13"/>
      <c r="NW1" s="13"/>
      <c r="NX1" s="13"/>
      <c r="NY1" s="13"/>
      <c r="NZ1" s="13"/>
      <c r="OA1" s="13"/>
      <c r="OB1" s="13"/>
      <c r="OC1" s="13"/>
      <c r="OD1" s="13"/>
      <c r="OE1" s="13"/>
      <c r="OF1" s="13"/>
      <c r="OG1" s="13"/>
      <c r="OH1" s="13"/>
      <c r="OI1" s="13"/>
      <c r="OJ1" s="13"/>
      <c r="OK1" s="13"/>
      <c r="OL1" s="13"/>
      <c r="OM1" s="13"/>
      <c r="ON1" s="13"/>
      <c r="OO1" s="13"/>
      <c r="OP1" s="13"/>
      <c r="OQ1" s="13"/>
      <c r="OR1" s="13"/>
      <c r="OS1" s="13"/>
      <c r="OT1" s="13"/>
      <c r="OU1" s="13"/>
      <c r="OV1" s="13"/>
      <c r="OW1" s="13"/>
      <c r="OX1" s="13"/>
      <c r="OY1" s="13"/>
      <c r="OZ1" s="13"/>
      <c r="PA1" s="13"/>
      <c r="PB1" s="13"/>
      <c r="PC1" s="13"/>
      <c r="PD1" s="13"/>
      <c r="PE1" s="13"/>
      <c r="PF1" s="13"/>
      <c r="PG1" s="13"/>
      <c r="PH1" s="13"/>
      <c r="PI1" s="13"/>
      <c r="PJ1" s="13"/>
      <c r="PK1" s="13"/>
      <c r="PL1" s="13"/>
      <c r="PM1" s="13"/>
      <c r="PN1" s="13"/>
      <c r="PO1" s="13"/>
      <c r="PP1" s="13"/>
      <c r="PQ1" s="13"/>
      <c r="PR1" s="13"/>
      <c r="PS1" s="13"/>
      <c r="PT1" s="13"/>
      <c r="PU1" s="13"/>
      <c r="PV1" s="13"/>
      <c r="PW1" s="13"/>
      <c r="PX1" s="13"/>
      <c r="PY1" s="13"/>
      <c r="PZ1" s="13"/>
      <c r="QA1" s="13"/>
      <c r="QB1" s="13"/>
      <c r="QC1" s="13"/>
      <c r="QD1" s="13"/>
      <c r="QE1" s="13"/>
      <c r="QF1" s="13"/>
      <c r="QG1" s="13"/>
      <c r="QH1" s="13"/>
      <c r="QI1" s="13"/>
      <c r="QJ1" s="13"/>
      <c r="QK1" s="13"/>
      <c r="QL1" s="13"/>
      <c r="QM1" s="13"/>
      <c r="QN1" s="13"/>
      <c r="QO1" s="13"/>
      <c r="QP1" s="13"/>
      <c r="QQ1" s="13"/>
      <c r="QR1" s="13"/>
      <c r="QS1" s="13"/>
      <c r="QT1" s="13"/>
      <c r="QU1" s="13"/>
      <c r="QV1" s="13"/>
      <c r="QW1" s="13"/>
      <c r="QX1" s="13"/>
      <c r="QY1" s="13"/>
      <c r="QZ1" s="13"/>
      <c r="RA1" s="13"/>
      <c r="RB1" s="13"/>
      <c r="RC1" s="13"/>
      <c r="RD1" s="13"/>
      <c r="RE1" s="13"/>
      <c r="RF1" s="13"/>
      <c r="RG1" s="13"/>
      <c r="RH1" s="13"/>
      <c r="RI1" s="13"/>
      <c r="RJ1" s="13"/>
      <c r="RK1" s="13"/>
      <c r="RL1" s="13"/>
      <c r="RM1" s="13"/>
      <c r="RN1" s="13"/>
      <c r="RO1" s="13"/>
      <c r="RP1" s="13"/>
      <c r="RQ1" s="13"/>
      <c r="RR1" s="13"/>
      <c r="RS1" s="13"/>
      <c r="RT1" s="13"/>
      <c r="RU1" s="13"/>
      <c r="RV1" s="13"/>
      <c r="RW1" s="13"/>
      <c r="RX1" s="13"/>
      <c r="RY1" s="13"/>
      <c r="RZ1" s="13"/>
      <c r="SA1" s="13"/>
      <c r="SB1" s="13"/>
      <c r="SC1" s="13"/>
      <c r="SD1" s="13"/>
      <c r="SE1" s="13"/>
      <c r="SF1" s="13"/>
      <c r="SG1" s="13"/>
      <c r="SH1" s="2"/>
    </row>
    <row r="2" spans="1:502" ht="5.0999999999999996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 t="s">
        <v>47</v>
      </c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 t="s">
        <v>47</v>
      </c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7"/>
      <c r="DF2" s="30"/>
      <c r="DG2" s="30"/>
      <c r="DH2" s="30"/>
      <c r="DI2" s="30"/>
      <c r="DJ2" s="30"/>
      <c r="DK2" s="30"/>
      <c r="DL2" s="30"/>
      <c r="DM2" s="30"/>
      <c r="DN2" s="30"/>
      <c r="DO2" s="30"/>
      <c r="DP2" s="30" t="s">
        <v>47</v>
      </c>
      <c r="DQ2" s="30"/>
      <c r="DR2" s="30"/>
      <c r="DS2" s="30"/>
      <c r="DT2" s="30"/>
      <c r="DU2" s="30"/>
      <c r="DV2" s="30"/>
      <c r="DW2" s="30"/>
      <c r="DX2" s="30"/>
      <c r="DY2" s="30"/>
      <c r="DZ2" s="30"/>
      <c r="EA2" s="30"/>
      <c r="EB2" s="30"/>
      <c r="EC2" s="30"/>
      <c r="ED2" s="30"/>
      <c r="EE2" s="30"/>
      <c r="EF2" s="30"/>
      <c r="EG2" s="30"/>
      <c r="EH2" s="30"/>
      <c r="EI2" s="30"/>
      <c r="EJ2" s="30"/>
      <c r="EK2" s="30"/>
      <c r="EL2" s="30"/>
      <c r="EM2" s="30"/>
      <c r="EN2" s="7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7"/>
      <c r="FD2" s="30"/>
      <c r="FE2" s="30"/>
      <c r="FF2" s="30"/>
      <c r="FG2" s="30"/>
      <c r="FH2" s="30"/>
      <c r="FI2" s="30"/>
      <c r="FJ2" s="30"/>
      <c r="FK2" s="30"/>
      <c r="FL2" s="30"/>
      <c r="FM2" s="30"/>
      <c r="FN2" s="30"/>
      <c r="FO2" s="30" t="s">
        <v>47</v>
      </c>
      <c r="FP2" s="30"/>
      <c r="FQ2" s="30"/>
      <c r="FR2" s="30"/>
      <c r="FS2" s="30"/>
      <c r="FT2" s="30"/>
      <c r="FU2" s="30"/>
      <c r="FV2" s="30"/>
      <c r="FW2" s="30"/>
      <c r="FX2" s="30"/>
      <c r="FY2" s="30"/>
      <c r="FZ2" s="30"/>
      <c r="GA2" s="30"/>
      <c r="GB2" s="30"/>
      <c r="GC2" s="30"/>
      <c r="GD2" s="30"/>
      <c r="GE2" s="30"/>
      <c r="GF2" s="30"/>
      <c r="GG2" s="30"/>
      <c r="GH2" s="30"/>
      <c r="GI2" s="30"/>
      <c r="GJ2" s="30"/>
      <c r="GK2" s="30"/>
      <c r="GL2" s="7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2"/>
    </row>
    <row r="3" spans="1:502" ht="5.0999999999999996" customHeight="1" x14ac:dyDescent="0.25">
      <c r="A3" s="2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7"/>
      <c r="DF3" s="30"/>
      <c r="DG3" s="30"/>
      <c r="DH3" s="30"/>
      <c r="DI3" s="30"/>
      <c r="DJ3" s="30"/>
      <c r="DK3" s="30"/>
      <c r="DL3" s="30"/>
      <c r="DM3" s="30"/>
      <c r="DN3" s="30"/>
      <c r="DO3" s="30"/>
      <c r="DP3" s="30"/>
      <c r="DQ3" s="30"/>
      <c r="DR3" s="30"/>
      <c r="DS3" s="30"/>
      <c r="DT3" s="30"/>
      <c r="DU3" s="30"/>
      <c r="DV3" s="30"/>
      <c r="DW3" s="30"/>
      <c r="DX3" s="30"/>
      <c r="DY3" s="30"/>
      <c r="DZ3" s="30"/>
      <c r="EA3" s="30"/>
      <c r="EB3" s="30"/>
      <c r="EC3" s="30"/>
      <c r="ED3" s="30"/>
      <c r="EE3" s="30"/>
      <c r="EF3" s="30"/>
      <c r="EG3" s="30"/>
      <c r="EH3" s="30"/>
      <c r="EI3" s="30"/>
      <c r="EJ3" s="30"/>
      <c r="EK3" s="30"/>
      <c r="EL3" s="30"/>
      <c r="EM3" s="30"/>
      <c r="EN3" s="7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7"/>
      <c r="FD3" s="30"/>
      <c r="FE3" s="30"/>
      <c r="FF3" s="30"/>
      <c r="FG3" s="30"/>
      <c r="FH3" s="30"/>
      <c r="FI3" s="30"/>
      <c r="FJ3" s="30"/>
      <c r="FK3" s="30"/>
      <c r="FL3" s="30"/>
      <c r="FM3" s="30"/>
      <c r="FN3" s="30"/>
      <c r="FO3" s="30"/>
      <c r="FP3" s="30"/>
      <c r="FQ3" s="30"/>
      <c r="FR3" s="30"/>
      <c r="FS3" s="30"/>
      <c r="FT3" s="30"/>
      <c r="FU3" s="30"/>
      <c r="FV3" s="30"/>
      <c r="FW3" s="30"/>
      <c r="FX3" s="30"/>
      <c r="FY3" s="30"/>
      <c r="FZ3" s="30"/>
      <c r="GA3" s="30"/>
      <c r="GB3" s="30"/>
      <c r="GC3" s="30"/>
      <c r="GD3" s="30"/>
      <c r="GE3" s="30"/>
      <c r="GF3" s="30"/>
      <c r="GG3" s="30"/>
      <c r="GH3" s="30"/>
      <c r="GI3" s="30"/>
      <c r="GJ3" s="30"/>
      <c r="GK3" s="30"/>
      <c r="GL3" s="7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2"/>
    </row>
    <row r="4" spans="1:502" ht="5.0999999999999996" customHeight="1" x14ac:dyDescent="0.25">
      <c r="A4" s="2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7"/>
      <c r="DF4" s="30"/>
      <c r="DG4" s="30"/>
      <c r="DH4" s="30"/>
      <c r="DI4" s="30"/>
      <c r="DJ4" s="30"/>
      <c r="DK4" s="30"/>
      <c r="DL4" s="30"/>
      <c r="DM4" s="30"/>
      <c r="DN4" s="30"/>
      <c r="DO4" s="30"/>
      <c r="DP4" s="30"/>
      <c r="DQ4" s="30"/>
      <c r="DR4" s="30"/>
      <c r="DS4" s="30"/>
      <c r="DT4" s="30"/>
      <c r="DU4" s="30"/>
      <c r="DV4" s="30"/>
      <c r="DW4" s="30"/>
      <c r="DX4" s="30"/>
      <c r="DY4" s="30"/>
      <c r="DZ4" s="30"/>
      <c r="EA4" s="30"/>
      <c r="EB4" s="30"/>
      <c r="EC4" s="30"/>
      <c r="ED4" s="30"/>
      <c r="EE4" s="30"/>
      <c r="EF4" s="30"/>
      <c r="EG4" s="30"/>
      <c r="EH4" s="30"/>
      <c r="EI4" s="30"/>
      <c r="EJ4" s="30"/>
      <c r="EK4" s="30"/>
      <c r="EL4" s="30"/>
      <c r="EM4" s="30"/>
      <c r="EN4" s="7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7"/>
      <c r="FD4" s="30"/>
      <c r="FE4" s="30"/>
      <c r="FF4" s="30"/>
      <c r="FG4" s="30"/>
      <c r="FH4" s="30"/>
      <c r="FI4" s="30"/>
      <c r="FJ4" s="30"/>
      <c r="FK4" s="30"/>
      <c r="FL4" s="30"/>
      <c r="FM4" s="30"/>
      <c r="FN4" s="30"/>
      <c r="FO4" s="30"/>
      <c r="FP4" s="30"/>
      <c r="FQ4" s="30"/>
      <c r="FR4" s="30"/>
      <c r="FS4" s="30"/>
      <c r="FT4" s="30"/>
      <c r="FU4" s="30"/>
      <c r="FV4" s="30"/>
      <c r="FW4" s="30"/>
      <c r="FX4" s="30"/>
      <c r="FY4" s="30"/>
      <c r="FZ4" s="30"/>
      <c r="GA4" s="30"/>
      <c r="GB4" s="30"/>
      <c r="GC4" s="30"/>
      <c r="GD4" s="30"/>
      <c r="GE4" s="30"/>
      <c r="GF4" s="30"/>
      <c r="GG4" s="30"/>
      <c r="GH4" s="30"/>
      <c r="GI4" s="30"/>
      <c r="GJ4" s="30"/>
      <c r="GK4" s="30"/>
      <c r="GL4" s="7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2"/>
    </row>
    <row r="5" spans="1:502" ht="5.0999999999999996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7"/>
      <c r="DF5" s="30"/>
      <c r="DG5" s="30"/>
      <c r="DH5" s="30"/>
      <c r="DI5" s="30"/>
      <c r="DJ5" s="30"/>
      <c r="DK5" s="30"/>
      <c r="DL5" s="30"/>
      <c r="DM5" s="30"/>
      <c r="DN5" s="30"/>
      <c r="DO5" s="30"/>
      <c r="DP5" s="30"/>
      <c r="DQ5" s="30"/>
      <c r="DR5" s="30"/>
      <c r="DS5" s="30"/>
      <c r="DT5" s="30"/>
      <c r="DU5" s="30"/>
      <c r="DV5" s="30"/>
      <c r="DW5" s="30"/>
      <c r="DX5" s="30"/>
      <c r="DY5" s="30"/>
      <c r="DZ5" s="30"/>
      <c r="EA5" s="30"/>
      <c r="EB5" s="30"/>
      <c r="EC5" s="30"/>
      <c r="ED5" s="30"/>
      <c r="EE5" s="30"/>
      <c r="EF5" s="30"/>
      <c r="EG5" s="30"/>
      <c r="EH5" s="30"/>
      <c r="EI5" s="30"/>
      <c r="EJ5" s="30"/>
      <c r="EK5" s="30"/>
      <c r="EL5" s="30"/>
      <c r="EM5" s="30"/>
      <c r="EN5" s="7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7"/>
      <c r="FD5" s="30"/>
      <c r="FE5" s="30"/>
      <c r="FF5" s="30"/>
      <c r="FG5" s="30"/>
      <c r="FH5" s="30"/>
      <c r="FI5" s="30"/>
      <c r="FJ5" s="30"/>
      <c r="FK5" s="30"/>
      <c r="FL5" s="30"/>
      <c r="FM5" s="30"/>
      <c r="FN5" s="30"/>
      <c r="FO5" s="30"/>
      <c r="FP5" s="30"/>
      <c r="FQ5" s="30"/>
      <c r="FR5" s="30"/>
      <c r="FS5" s="30"/>
      <c r="FT5" s="30"/>
      <c r="FU5" s="30"/>
      <c r="FV5" s="30"/>
      <c r="FW5" s="30"/>
      <c r="FX5" s="30"/>
      <c r="FY5" s="30"/>
      <c r="FZ5" s="30"/>
      <c r="GA5" s="30"/>
      <c r="GB5" s="30"/>
      <c r="GC5" s="30"/>
      <c r="GD5" s="30"/>
      <c r="GE5" s="30"/>
      <c r="GF5" s="30"/>
      <c r="GG5" s="30"/>
      <c r="GH5" s="30"/>
      <c r="GI5" s="30"/>
      <c r="GJ5" s="30"/>
      <c r="GK5" s="30"/>
      <c r="GL5" s="7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2"/>
    </row>
    <row r="6" spans="1:502" ht="5.0999999999999996" customHeight="1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1"/>
      <c r="DG6" s="30"/>
      <c r="DH6" s="30"/>
      <c r="DI6" s="30"/>
      <c r="DJ6" s="30"/>
      <c r="DK6" s="30"/>
      <c r="DL6" s="30"/>
      <c r="DM6" s="30"/>
      <c r="DN6" s="30"/>
      <c r="DO6" s="30"/>
      <c r="DP6" s="30"/>
      <c r="DQ6" s="30"/>
      <c r="DR6" s="30"/>
      <c r="DS6" s="30"/>
      <c r="DT6" s="30"/>
      <c r="DU6" s="30"/>
      <c r="DV6" s="30"/>
      <c r="DW6" s="30"/>
      <c r="DX6" s="30"/>
      <c r="DY6" s="30"/>
      <c r="DZ6" s="30"/>
      <c r="EA6" s="30"/>
      <c r="EB6" s="30"/>
      <c r="EC6" s="30"/>
      <c r="ED6" s="30"/>
      <c r="EE6" s="30"/>
      <c r="EF6" s="30"/>
      <c r="EG6" s="30"/>
      <c r="EH6" s="30"/>
      <c r="EI6" s="30"/>
      <c r="EJ6" s="30"/>
      <c r="EK6" s="30"/>
      <c r="EL6" s="30"/>
      <c r="EM6" s="1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1"/>
      <c r="FE6" s="30"/>
      <c r="FF6" s="30"/>
      <c r="FG6" s="30"/>
      <c r="FH6" s="30"/>
      <c r="FI6" s="30"/>
      <c r="FJ6" s="30"/>
      <c r="FK6" s="30"/>
      <c r="FL6" s="30"/>
      <c r="FM6" s="30"/>
      <c r="FN6" s="30"/>
      <c r="FO6" s="30"/>
      <c r="FP6" s="30"/>
      <c r="FQ6" s="30"/>
      <c r="FR6" s="30"/>
      <c r="FS6" s="30"/>
      <c r="FT6" s="30"/>
      <c r="FU6" s="30"/>
      <c r="FV6" s="30"/>
      <c r="FW6" s="30"/>
      <c r="FX6" s="30"/>
      <c r="FY6" s="30"/>
      <c r="FZ6" s="30"/>
      <c r="GA6" s="30"/>
      <c r="GB6" s="30"/>
      <c r="GC6" s="30"/>
      <c r="GD6" s="30"/>
      <c r="GE6" s="30"/>
      <c r="GF6" s="30"/>
      <c r="GG6" s="30"/>
      <c r="GH6" s="30"/>
      <c r="GI6" s="30"/>
      <c r="GJ6" s="30"/>
      <c r="GK6" s="1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2"/>
    </row>
    <row r="7" spans="1:502" ht="5.0999999999999996" customHeight="1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7"/>
      <c r="DG7" s="30"/>
      <c r="DH7" s="30"/>
      <c r="DI7" s="30"/>
      <c r="DJ7" s="30"/>
      <c r="DK7" s="30"/>
      <c r="DL7" s="30"/>
      <c r="DM7" s="30"/>
      <c r="DN7" s="30"/>
      <c r="DO7" s="30"/>
      <c r="DP7" s="30"/>
      <c r="DQ7" s="30"/>
      <c r="DR7" s="30"/>
      <c r="DS7" s="30"/>
      <c r="DT7" s="30"/>
      <c r="DU7" s="30"/>
      <c r="DV7" s="30"/>
      <c r="DW7" s="30"/>
      <c r="DX7" s="30"/>
      <c r="DY7" s="30"/>
      <c r="DZ7" s="30"/>
      <c r="EA7" s="30"/>
      <c r="EB7" s="30"/>
      <c r="EC7" s="30"/>
      <c r="ED7" s="30"/>
      <c r="EE7" s="30"/>
      <c r="EF7" s="30"/>
      <c r="EG7" s="30"/>
      <c r="EH7" s="30"/>
      <c r="EI7" s="30"/>
      <c r="EJ7" s="30"/>
      <c r="EK7" s="30"/>
      <c r="EL7" s="30"/>
      <c r="EM7" s="7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7"/>
      <c r="FE7" s="30"/>
      <c r="FF7" s="30"/>
      <c r="FG7" s="30"/>
      <c r="FH7" s="30"/>
      <c r="FI7" s="30"/>
      <c r="FJ7" s="30"/>
      <c r="FK7" s="30"/>
      <c r="FL7" s="30"/>
      <c r="FM7" s="30"/>
      <c r="FN7" s="30"/>
      <c r="FO7" s="30"/>
      <c r="FP7" s="30"/>
      <c r="FQ7" s="30"/>
      <c r="FR7" s="30"/>
      <c r="FS7" s="30"/>
      <c r="FT7" s="30"/>
      <c r="FU7" s="30"/>
      <c r="FV7" s="30"/>
      <c r="FW7" s="30"/>
      <c r="FX7" s="30"/>
      <c r="FY7" s="30"/>
      <c r="FZ7" s="30"/>
      <c r="GA7" s="30"/>
      <c r="GB7" s="30"/>
      <c r="GC7" s="30"/>
      <c r="GD7" s="30"/>
      <c r="GE7" s="30"/>
      <c r="GF7" s="30"/>
      <c r="GG7" s="30"/>
      <c r="GH7" s="30"/>
      <c r="GI7" s="30"/>
      <c r="GJ7" s="30"/>
      <c r="GK7" s="7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2"/>
    </row>
    <row r="8" spans="1:502" ht="5.0999999999999996" customHeight="1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1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1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1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1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2"/>
    </row>
    <row r="9" spans="1:502" ht="5.0999999999999996" customHeight="1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7"/>
      <c r="DH9" s="30"/>
      <c r="DI9" s="30"/>
      <c r="DJ9" s="30"/>
      <c r="DK9" s="30"/>
      <c r="DL9" s="30"/>
      <c r="DM9" s="30"/>
      <c r="DN9" s="30"/>
      <c r="DO9" s="30"/>
      <c r="DP9" s="30"/>
      <c r="DQ9" s="30"/>
      <c r="DR9" s="30"/>
      <c r="DS9" s="30"/>
      <c r="DT9" s="30"/>
      <c r="DU9" s="30"/>
      <c r="DV9" s="30"/>
      <c r="DW9" s="30"/>
      <c r="DX9" s="30"/>
      <c r="DY9" s="30"/>
      <c r="DZ9" s="30"/>
      <c r="EA9" s="30"/>
      <c r="EB9" s="30"/>
      <c r="EC9" s="30"/>
      <c r="ED9" s="30"/>
      <c r="EE9" s="30"/>
      <c r="EF9" s="30"/>
      <c r="EG9" s="30"/>
      <c r="EH9" s="30"/>
      <c r="EI9" s="30"/>
      <c r="EJ9" s="30"/>
      <c r="EK9" s="30"/>
      <c r="EL9" s="7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7"/>
      <c r="FF9" s="30"/>
      <c r="FG9" s="30"/>
      <c r="FH9" s="30"/>
      <c r="FI9" s="30"/>
      <c r="FJ9" s="30"/>
      <c r="FK9" s="30"/>
      <c r="FL9" s="30"/>
      <c r="FM9" s="30"/>
      <c r="FN9" s="30"/>
      <c r="FO9" s="30"/>
      <c r="FP9" s="30"/>
      <c r="FQ9" s="30"/>
      <c r="FR9" s="30"/>
      <c r="FS9" s="30"/>
      <c r="FT9" s="30"/>
      <c r="FU9" s="30"/>
      <c r="FV9" s="30"/>
      <c r="FW9" s="30"/>
      <c r="FX9" s="30"/>
      <c r="FY9" s="30"/>
      <c r="FZ9" s="30"/>
      <c r="GA9" s="30"/>
      <c r="GB9" s="30"/>
      <c r="GC9" s="30"/>
      <c r="GD9" s="30"/>
      <c r="GE9" s="30"/>
      <c r="GF9" s="30"/>
      <c r="GG9" s="30"/>
      <c r="GH9" s="30"/>
      <c r="GI9" s="30"/>
      <c r="GJ9" s="7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2"/>
    </row>
    <row r="10" spans="1:502" ht="5.0999999999999996" customHeight="1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1"/>
      <c r="DI10" s="30"/>
      <c r="DJ10" s="30"/>
      <c r="DK10" s="30"/>
      <c r="DL10" s="30"/>
      <c r="DM10" s="30"/>
      <c r="DN10" s="30"/>
      <c r="DO10" s="30"/>
      <c r="DP10" s="30"/>
      <c r="DQ10" s="30"/>
      <c r="DR10" s="30"/>
      <c r="DS10" s="30"/>
      <c r="DT10" s="30"/>
      <c r="DU10" s="30"/>
      <c r="DV10" s="30"/>
      <c r="DW10" s="30"/>
      <c r="DX10" s="30"/>
      <c r="DY10" s="30"/>
      <c r="DZ10" s="30"/>
      <c r="EA10" s="30"/>
      <c r="EB10" s="30"/>
      <c r="EC10" s="30"/>
      <c r="ED10" s="30"/>
      <c r="EE10" s="30"/>
      <c r="EF10" s="30"/>
      <c r="EG10" s="30"/>
      <c r="EH10" s="30"/>
      <c r="EI10" s="30"/>
      <c r="EJ10" s="30"/>
      <c r="EK10" s="1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1"/>
      <c r="FG10" s="30"/>
      <c r="FH10" s="30"/>
      <c r="FI10" s="30"/>
      <c r="FJ10" s="30"/>
      <c r="FK10" s="30"/>
      <c r="FL10" s="30"/>
      <c r="FM10" s="30"/>
      <c r="FN10" s="30"/>
      <c r="FO10" s="30"/>
      <c r="FP10" s="30"/>
      <c r="FQ10" s="30"/>
      <c r="FR10" s="30"/>
      <c r="FS10" s="30"/>
      <c r="FT10" s="30"/>
      <c r="FU10" s="30"/>
      <c r="FV10" s="30"/>
      <c r="FW10" s="30"/>
      <c r="FX10" s="30"/>
      <c r="FY10" s="30"/>
      <c r="FZ10" s="30"/>
      <c r="GA10" s="30"/>
      <c r="GB10" s="30"/>
      <c r="GC10" s="30"/>
      <c r="GD10" s="30"/>
      <c r="GE10" s="30"/>
      <c r="GF10" s="30"/>
      <c r="GG10" s="30"/>
      <c r="GH10" s="30"/>
      <c r="GI10" s="1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2"/>
    </row>
    <row r="11" spans="1:502" ht="5.0999999999999996" customHeight="1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7"/>
      <c r="DI11" s="30"/>
      <c r="DJ11" s="30"/>
      <c r="DK11" s="30"/>
      <c r="DL11" s="30"/>
      <c r="DM11" s="30"/>
      <c r="DN11" s="30"/>
      <c r="DO11" s="30"/>
      <c r="DP11" s="30"/>
      <c r="DQ11" s="30"/>
      <c r="DR11" s="30"/>
      <c r="DS11" s="30"/>
      <c r="DT11" s="30"/>
      <c r="DU11" s="30"/>
      <c r="DV11" s="30"/>
      <c r="DW11" s="30"/>
      <c r="DX11" s="30"/>
      <c r="DY11" s="30"/>
      <c r="DZ11" s="30"/>
      <c r="EA11" s="30"/>
      <c r="EB11" s="30"/>
      <c r="EC11" s="30"/>
      <c r="ED11" s="30"/>
      <c r="EE11" s="30"/>
      <c r="EF11" s="30"/>
      <c r="EG11" s="30"/>
      <c r="EH11" s="30"/>
      <c r="EI11" s="30"/>
      <c r="EJ11" s="30"/>
      <c r="EK11" s="7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7"/>
      <c r="FG11" s="30"/>
      <c r="FH11" s="30"/>
      <c r="FI11" s="30"/>
      <c r="FJ11" s="30"/>
      <c r="FK11" s="30"/>
      <c r="FL11" s="30"/>
      <c r="FM11" s="30"/>
      <c r="FN11" s="30"/>
      <c r="FO11" s="30"/>
      <c r="FP11" s="30"/>
      <c r="FQ11" s="30"/>
      <c r="FR11" s="30"/>
      <c r="FS11" s="30"/>
      <c r="FT11" s="30"/>
      <c r="FU11" s="30"/>
      <c r="FV11" s="30"/>
      <c r="FW11" s="30"/>
      <c r="FX11" s="30"/>
      <c r="FY11" s="30"/>
      <c r="FZ11" s="30"/>
      <c r="GA11" s="30"/>
      <c r="GB11" s="30"/>
      <c r="GC11" s="30"/>
      <c r="GD11" s="30"/>
      <c r="GE11" s="30"/>
      <c r="GF11" s="30"/>
      <c r="GG11" s="30"/>
      <c r="GH11" s="30"/>
      <c r="GI11" s="7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2"/>
    </row>
    <row r="12" spans="1:502" ht="5.0999999999999996" customHeight="1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1"/>
      <c r="DJ12" s="30"/>
      <c r="DK12" s="30"/>
      <c r="DL12" s="30"/>
      <c r="DM12" s="30"/>
      <c r="DN12" s="30"/>
      <c r="DO12" s="30"/>
      <c r="DP12" s="30"/>
      <c r="DQ12" s="30"/>
      <c r="DR12" s="30"/>
      <c r="DS12" s="30"/>
      <c r="DT12" s="30"/>
      <c r="DU12" s="30"/>
      <c r="DV12" s="30"/>
      <c r="DW12" s="30"/>
      <c r="DX12" s="30"/>
      <c r="DY12" s="30"/>
      <c r="DZ12" s="30"/>
      <c r="EA12" s="30"/>
      <c r="EB12" s="30"/>
      <c r="EC12" s="30"/>
      <c r="ED12" s="30"/>
      <c r="EE12" s="30"/>
      <c r="EF12" s="30"/>
      <c r="EG12" s="30"/>
      <c r="EH12" s="30"/>
      <c r="EI12" s="30"/>
      <c r="EJ12" s="1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1"/>
      <c r="FH12" s="30"/>
      <c r="FI12" s="30"/>
      <c r="FJ12" s="30"/>
      <c r="FK12" s="30"/>
      <c r="FL12" s="30"/>
      <c r="FM12" s="30"/>
      <c r="FN12" s="30"/>
      <c r="FO12" s="30"/>
      <c r="FP12" s="30"/>
      <c r="FQ12" s="30"/>
      <c r="FR12" s="30"/>
      <c r="FS12" s="30"/>
      <c r="FT12" s="30"/>
      <c r="FU12" s="30"/>
      <c r="FV12" s="30"/>
      <c r="FW12" s="30"/>
      <c r="FX12" s="30"/>
      <c r="FY12" s="30"/>
      <c r="FZ12" s="30"/>
      <c r="GA12" s="30"/>
      <c r="GB12" s="30"/>
      <c r="GC12" s="30"/>
      <c r="GD12" s="30"/>
      <c r="GE12" s="30"/>
      <c r="GF12" s="30"/>
      <c r="GG12" s="30"/>
      <c r="GH12" s="1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2"/>
    </row>
    <row r="13" spans="1:502" ht="5.0999999999999996" customHeight="1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1"/>
      <c r="DK13" s="30"/>
      <c r="DL13" s="30"/>
      <c r="DM13" s="30"/>
      <c r="DN13" s="30"/>
      <c r="DO13" s="30"/>
      <c r="DP13" s="30"/>
      <c r="DQ13" s="30"/>
      <c r="DR13" s="30"/>
      <c r="DS13" s="30"/>
      <c r="DT13" s="30"/>
      <c r="DU13" s="30"/>
      <c r="DV13" s="30"/>
      <c r="DW13" s="30"/>
      <c r="DX13" s="30"/>
      <c r="DY13" s="30"/>
      <c r="DZ13" s="30"/>
      <c r="EA13" s="30"/>
      <c r="EB13" s="30"/>
      <c r="EC13" s="30"/>
      <c r="ED13" s="30"/>
      <c r="EE13" s="30"/>
      <c r="EF13" s="30"/>
      <c r="EG13" s="30"/>
      <c r="EH13" s="30"/>
      <c r="EI13" s="1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1"/>
      <c r="FI13" s="30"/>
      <c r="FJ13" s="30"/>
      <c r="FK13" s="30"/>
      <c r="FL13" s="30"/>
      <c r="FM13" s="30"/>
      <c r="FN13" s="30"/>
      <c r="FO13" s="30"/>
      <c r="FP13" s="30"/>
      <c r="FQ13" s="30"/>
      <c r="FR13" s="30"/>
      <c r="FS13" s="30"/>
      <c r="FT13" s="30"/>
      <c r="FU13" s="30"/>
      <c r="FV13" s="30"/>
      <c r="FW13" s="30"/>
      <c r="FX13" s="30"/>
      <c r="FY13" s="30"/>
      <c r="FZ13" s="30"/>
      <c r="GA13" s="30"/>
      <c r="GB13" s="30"/>
      <c r="GC13" s="30"/>
      <c r="GD13" s="30"/>
      <c r="GE13" s="30"/>
      <c r="GF13" s="30"/>
      <c r="GG13" s="1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2"/>
    </row>
    <row r="14" spans="1:502" ht="5.0999999999999996" customHeight="1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1"/>
      <c r="DL14" s="30"/>
      <c r="DM14" s="30"/>
      <c r="DN14" s="30"/>
      <c r="DO14" s="30"/>
      <c r="DP14" s="30"/>
      <c r="DQ14" s="30"/>
      <c r="DR14" s="30"/>
      <c r="DS14" s="30"/>
      <c r="DT14" s="30"/>
      <c r="DU14" s="30"/>
      <c r="DV14" s="30"/>
      <c r="DW14" s="30"/>
      <c r="DX14" s="30"/>
      <c r="DY14" s="30"/>
      <c r="DZ14" s="30"/>
      <c r="EA14" s="30"/>
      <c r="EB14" s="30"/>
      <c r="EC14" s="30"/>
      <c r="ED14" s="30"/>
      <c r="EE14" s="30"/>
      <c r="EF14" s="30"/>
      <c r="EG14" s="30"/>
      <c r="EH14" s="1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1"/>
      <c r="FJ14" s="30"/>
      <c r="FK14" s="30"/>
      <c r="FL14" s="30"/>
      <c r="FM14" s="30"/>
      <c r="FN14" s="30"/>
      <c r="FO14" s="30"/>
      <c r="FP14" s="30"/>
      <c r="FQ14" s="30"/>
      <c r="FR14" s="30"/>
      <c r="FS14" s="30"/>
      <c r="FT14" s="30"/>
      <c r="FU14" s="30"/>
      <c r="FV14" s="30"/>
      <c r="FW14" s="30"/>
      <c r="FX14" s="30"/>
      <c r="FY14" s="30"/>
      <c r="FZ14" s="30"/>
      <c r="GA14" s="30"/>
      <c r="GB14" s="30"/>
      <c r="GC14" s="30"/>
      <c r="GD14" s="30"/>
      <c r="GE14" s="30"/>
      <c r="GF14" s="1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2"/>
    </row>
    <row r="15" spans="1:502" ht="5.0999999999999996" customHeight="1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1"/>
      <c r="DM15" s="30"/>
      <c r="DN15" s="30"/>
      <c r="DO15" s="30"/>
      <c r="DP15" s="30"/>
      <c r="DQ15" s="30"/>
      <c r="DR15" s="30"/>
      <c r="DS15" s="30"/>
      <c r="DT15" s="30"/>
      <c r="DU15" s="30"/>
      <c r="DV15" s="30"/>
      <c r="DW15" s="30"/>
      <c r="DX15" s="30"/>
      <c r="DY15" s="30"/>
      <c r="DZ15" s="30"/>
      <c r="EA15" s="30"/>
      <c r="EB15" s="30"/>
      <c r="EC15" s="30"/>
      <c r="ED15" s="30"/>
      <c r="EE15" s="30"/>
      <c r="EF15" s="30"/>
      <c r="EG15" s="1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1"/>
      <c r="FK15" s="30"/>
      <c r="FL15" s="30"/>
      <c r="FM15" s="30"/>
      <c r="FN15" s="30"/>
      <c r="FO15" s="30"/>
      <c r="FP15" s="30"/>
      <c r="FQ15" s="30"/>
      <c r="FR15" s="30"/>
      <c r="FS15" s="30"/>
      <c r="FT15" s="30"/>
      <c r="FU15" s="30"/>
      <c r="FV15" s="30"/>
      <c r="FW15" s="30"/>
      <c r="FX15" s="30"/>
      <c r="FY15" s="30"/>
      <c r="FZ15" s="30"/>
      <c r="GA15" s="30"/>
      <c r="GB15" s="30"/>
      <c r="GC15" s="30"/>
      <c r="GD15" s="30"/>
      <c r="GE15" s="1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2"/>
    </row>
    <row r="16" spans="1:502" ht="5.0999999999999996" customHeight="1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3"/>
      <c r="DN16" s="11"/>
      <c r="DO16" s="30"/>
      <c r="DP16" s="30"/>
      <c r="DQ16" s="30"/>
      <c r="DR16" s="30"/>
      <c r="DS16" s="30"/>
      <c r="DT16" s="30"/>
      <c r="DU16" s="30"/>
      <c r="DV16" s="30"/>
      <c r="DW16" s="30"/>
      <c r="DX16" s="30"/>
      <c r="DY16" s="30"/>
      <c r="DZ16" s="30"/>
      <c r="EA16" s="30"/>
      <c r="EB16" s="30"/>
      <c r="EC16" s="30"/>
      <c r="ED16" s="30"/>
      <c r="EE16" s="11"/>
      <c r="EF16" s="3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3"/>
      <c r="FL16" s="11"/>
      <c r="FM16" s="30"/>
      <c r="FN16" s="30"/>
      <c r="FO16" s="30"/>
      <c r="FP16" s="30"/>
      <c r="FQ16" s="30"/>
      <c r="FR16" s="30"/>
      <c r="FS16" s="30"/>
      <c r="FT16" s="30"/>
      <c r="FU16" s="30"/>
      <c r="FV16" s="30"/>
      <c r="FW16" s="30"/>
      <c r="FX16" s="30"/>
      <c r="FY16" s="30"/>
      <c r="FZ16" s="30"/>
      <c r="GA16" s="30"/>
      <c r="GB16" s="30"/>
      <c r="GC16" s="11"/>
      <c r="GD16" s="3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2"/>
    </row>
    <row r="17" spans="1:502" ht="5.0999999999999996" customHeight="1" x14ac:dyDescent="0.25">
      <c r="A17" s="2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3"/>
      <c r="DP17" s="11"/>
      <c r="DQ17" s="30"/>
      <c r="DR17" s="30"/>
      <c r="DS17" s="30"/>
      <c r="DT17" s="30"/>
      <c r="DU17" s="30"/>
      <c r="DV17" s="30"/>
      <c r="DW17" s="30"/>
      <c r="DX17" s="30"/>
      <c r="DY17" s="30"/>
      <c r="DZ17" s="30"/>
      <c r="EA17" s="30"/>
      <c r="EB17" s="30"/>
      <c r="EC17" s="11"/>
      <c r="ED17" s="3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3"/>
      <c r="FN17" s="11"/>
      <c r="FO17" s="30"/>
      <c r="FP17" s="30"/>
      <c r="FQ17" s="30"/>
      <c r="FR17" s="30"/>
      <c r="FS17" s="30"/>
      <c r="FT17" s="30"/>
      <c r="FU17" s="30"/>
      <c r="FV17" s="30"/>
      <c r="FW17" s="30"/>
      <c r="FX17" s="30"/>
      <c r="FY17" s="30"/>
      <c r="FZ17" s="30"/>
      <c r="GA17" s="11"/>
      <c r="GB17" s="3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2"/>
    </row>
    <row r="18" spans="1:502" ht="5.0999999999999996" customHeight="1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3"/>
      <c r="DR18" s="11"/>
      <c r="DS18" s="30"/>
      <c r="DT18" s="30"/>
      <c r="DU18" s="30"/>
      <c r="DV18" s="30"/>
      <c r="DW18" s="30"/>
      <c r="DX18" s="30"/>
      <c r="DY18" s="30"/>
      <c r="DZ18" s="30"/>
      <c r="EA18" s="11"/>
      <c r="EB18" s="3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3"/>
      <c r="FP18" s="11"/>
      <c r="FQ18" s="30"/>
      <c r="FR18" s="30"/>
      <c r="FS18" s="30"/>
      <c r="FT18" s="30"/>
      <c r="FU18" s="30"/>
      <c r="FV18" s="30"/>
      <c r="FW18" s="30"/>
      <c r="FX18" s="30"/>
      <c r="FY18" s="11"/>
      <c r="FZ18" s="3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2"/>
    </row>
    <row r="19" spans="1:502" ht="5.0999999999999996" customHeight="1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3"/>
      <c r="DT19" s="3"/>
      <c r="DU19" s="3"/>
      <c r="DV19" s="3"/>
      <c r="DW19" s="3"/>
      <c r="DX19" s="3"/>
      <c r="DY19" s="3"/>
      <c r="DZ19" s="3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3"/>
      <c r="FR19" s="3"/>
      <c r="FS19" s="3"/>
      <c r="FT19" s="3"/>
      <c r="FU19" s="3"/>
      <c r="FV19" s="3"/>
      <c r="FW19" s="3"/>
      <c r="FX19" s="3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2"/>
    </row>
    <row r="20" spans="1:502" ht="5.0999999999999996" customHeight="1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2"/>
    </row>
    <row r="21" spans="1:502" ht="5.0999999999999996" customHeight="1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2"/>
    </row>
    <row r="22" spans="1:502" ht="5.0999999999999996" customHeight="1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2"/>
    </row>
    <row r="23" spans="1:502" ht="5.0999999999999996" customHeight="1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2"/>
    </row>
    <row r="24" spans="1:502" ht="5.0999999999999996" customHeight="1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2"/>
    </row>
    <row r="25" spans="1:502" ht="5.0999999999999996" customHeight="1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2"/>
    </row>
    <row r="26" spans="1:502" ht="5.0999999999999996" customHeight="1" x14ac:dyDescent="0.25">
      <c r="A26" s="2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2"/>
    </row>
    <row r="27" spans="1:502" ht="5.0999999999999996" customHeight="1" x14ac:dyDescent="0.25">
      <c r="A27" s="2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2"/>
    </row>
    <row r="28" spans="1:502" ht="5.0999999999999996" customHeight="1" x14ac:dyDescent="0.25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2"/>
    </row>
    <row r="29" spans="1:502" ht="5.0999999999999996" customHeight="1" x14ac:dyDescent="0.25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2"/>
    </row>
    <row r="30" spans="1:502" ht="5.0999999999999996" customHeight="1" x14ac:dyDescent="0.25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2"/>
    </row>
    <row r="31" spans="1:502" ht="5.0999999999999996" customHeight="1" x14ac:dyDescent="0.25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2"/>
    </row>
    <row r="32" spans="1:502" ht="5.0999999999999996" customHeight="1" x14ac:dyDescent="0.25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2"/>
    </row>
    <row r="33" spans="1:502" ht="5.0999999999999996" customHeight="1" x14ac:dyDescent="0.25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2"/>
    </row>
    <row r="34" spans="1:502" ht="5.0999999999999996" customHeight="1" x14ac:dyDescent="0.25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3"/>
      <c r="DT34" s="3"/>
      <c r="DU34" s="3"/>
      <c r="DV34" s="3"/>
      <c r="DW34" s="3"/>
      <c r="DX34" s="3"/>
      <c r="DY34" s="3"/>
      <c r="DZ34" s="3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3"/>
      <c r="FR34" s="3"/>
      <c r="FS34" s="3"/>
      <c r="FT34" s="3"/>
      <c r="FU34" s="3"/>
      <c r="FV34" s="3"/>
      <c r="FW34" s="3"/>
      <c r="FX34" s="3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2"/>
    </row>
    <row r="35" spans="1:502" ht="5.0999999999999996" customHeight="1" x14ac:dyDescent="0.25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3"/>
      <c r="DR35" s="11"/>
      <c r="DS35" s="30"/>
      <c r="DT35" s="30"/>
      <c r="DU35" s="30"/>
      <c r="DV35" s="30"/>
      <c r="DW35" s="30"/>
      <c r="DX35" s="30"/>
      <c r="DY35" s="30"/>
      <c r="DZ35" s="30"/>
      <c r="EA35" s="11"/>
      <c r="EB35" s="3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3"/>
      <c r="FP35" s="11"/>
      <c r="FQ35" s="30"/>
      <c r="FR35" s="30"/>
      <c r="FS35" s="30"/>
      <c r="FT35" s="30"/>
      <c r="FU35" s="30"/>
      <c r="FV35" s="30"/>
      <c r="FW35" s="30"/>
      <c r="FX35" s="30"/>
      <c r="FY35" s="11"/>
      <c r="FZ35" s="3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2"/>
    </row>
    <row r="36" spans="1:502" ht="5.0999999999999996" customHeight="1" x14ac:dyDescent="0.25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3"/>
      <c r="DP36" s="11"/>
      <c r="DQ36" s="30"/>
      <c r="DR36" s="30"/>
      <c r="DS36" s="30"/>
      <c r="DT36" s="30"/>
      <c r="DU36" s="30"/>
      <c r="DV36" s="30"/>
      <c r="DW36" s="30"/>
      <c r="DX36" s="30"/>
      <c r="DY36" s="30"/>
      <c r="DZ36" s="30"/>
      <c r="EA36" s="30"/>
      <c r="EB36" s="30"/>
      <c r="EC36" s="11"/>
      <c r="ED36" s="3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3"/>
      <c r="FN36" s="11"/>
      <c r="FO36" s="30"/>
      <c r="FP36" s="30"/>
      <c r="FQ36" s="30"/>
      <c r="FR36" s="30"/>
      <c r="FS36" s="30"/>
      <c r="FT36" s="30"/>
      <c r="FU36" s="30"/>
      <c r="FV36" s="30"/>
      <c r="FW36" s="30"/>
      <c r="FX36" s="30"/>
      <c r="FY36" s="30"/>
      <c r="FZ36" s="30"/>
      <c r="GA36" s="11"/>
      <c r="GB36" s="3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2"/>
    </row>
    <row r="37" spans="1:502" ht="5.0999999999999996" customHeight="1" x14ac:dyDescent="0.25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3"/>
      <c r="DN37" s="11"/>
      <c r="DO37" s="30"/>
      <c r="DP37" s="30"/>
      <c r="DQ37" s="30"/>
      <c r="DR37" s="30"/>
      <c r="DS37" s="30"/>
      <c r="DT37" s="30"/>
      <c r="DU37" s="30"/>
      <c r="DV37" s="30"/>
      <c r="DW37" s="30"/>
      <c r="DX37" s="30"/>
      <c r="DY37" s="30"/>
      <c r="DZ37" s="30"/>
      <c r="EA37" s="30"/>
      <c r="EB37" s="30"/>
      <c r="EC37" s="30"/>
      <c r="ED37" s="30"/>
      <c r="EE37" s="11"/>
      <c r="EF37" s="3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3"/>
      <c r="FL37" s="11"/>
      <c r="FM37" s="30"/>
      <c r="FN37" s="30"/>
      <c r="FO37" s="30"/>
      <c r="FP37" s="30"/>
      <c r="FQ37" s="30"/>
      <c r="FR37" s="30"/>
      <c r="FS37" s="30"/>
      <c r="FT37" s="30"/>
      <c r="FU37" s="30"/>
      <c r="FV37" s="30"/>
      <c r="FW37" s="30"/>
      <c r="FX37" s="30"/>
      <c r="FY37" s="30"/>
      <c r="FZ37" s="30"/>
      <c r="GA37" s="30"/>
      <c r="GB37" s="30"/>
      <c r="GC37" s="11"/>
      <c r="GD37" s="3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2"/>
    </row>
    <row r="38" spans="1:502" ht="5.0999999999999996" customHeight="1" x14ac:dyDescent="0.25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1"/>
      <c r="DM38" s="30"/>
      <c r="DN38" s="30"/>
      <c r="DO38" s="30"/>
      <c r="DP38" s="30"/>
      <c r="DQ38" s="30"/>
      <c r="DR38" s="30"/>
      <c r="DS38" s="30"/>
      <c r="DT38" s="30"/>
      <c r="DU38" s="30"/>
      <c r="DV38" s="30"/>
      <c r="DW38" s="30"/>
      <c r="DX38" s="30"/>
      <c r="DY38" s="30"/>
      <c r="DZ38" s="30"/>
      <c r="EA38" s="30"/>
      <c r="EB38" s="30"/>
      <c r="EC38" s="30"/>
      <c r="ED38" s="30"/>
      <c r="EE38" s="30"/>
      <c r="EF38" s="30"/>
      <c r="EG38" s="1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1"/>
      <c r="FK38" s="30"/>
      <c r="FL38" s="30"/>
      <c r="FM38" s="30"/>
      <c r="FN38" s="30"/>
      <c r="FO38" s="30"/>
      <c r="FP38" s="30"/>
      <c r="FQ38" s="30"/>
      <c r="FR38" s="30"/>
      <c r="FS38" s="30"/>
      <c r="FT38" s="30"/>
      <c r="FU38" s="30"/>
      <c r="FV38" s="30"/>
      <c r="FW38" s="30"/>
      <c r="FX38" s="30"/>
      <c r="FY38" s="30"/>
      <c r="FZ38" s="30"/>
      <c r="GA38" s="30"/>
      <c r="GB38" s="30"/>
      <c r="GC38" s="30"/>
      <c r="GD38" s="30"/>
      <c r="GE38" s="1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2"/>
    </row>
    <row r="39" spans="1:502" ht="5.0999999999999996" customHeight="1" x14ac:dyDescent="0.25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1"/>
      <c r="DL39" s="30"/>
      <c r="DM39" s="30"/>
      <c r="DN39" s="30"/>
      <c r="DO39" s="30"/>
      <c r="DP39" s="30"/>
      <c r="DQ39" s="30"/>
      <c r="DR39" s="30"/>
      <c r="DS39" s="30"/>
      <c r="DT39" s="30"/>
      <c r="DU39" s="30"/>
      <c r="DV39" s="30"/>
      <c r="DW39" s="30"/>
      <c r="DX39" s="30"/>
      <c r="DY39" s="30"/>
      <c r="DZ39" s="30"/>
      <c r="EA39" s="30"/>
      <c r="EB39" s="30"/>
      <c r="EC39" s="30"/>
      <c r="ED39" s="30"/>
      <c r="EE39" s="30"/>
      <c r="EF39" s="30"/>
      <c r="EG39" s="30"/>
      <c r="EH39" s="1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1"/>
      <c r="FJ39" s="30"/>
      <c r="FK39" s="30"/>
      <c r="FL39" s="30"/>
      <c r="FM39" s="30"/>
      <c r="FN39" s="30"/>
      <c r="FO39" s="30"/>
      <c r="FP39" s="30"/>
      <c r="FQ39" s="30"/>
      <c r="FR39" s="30"/>
      <c r="FS39" s="30"/>
      <c r="FT39" s="30"/>
      <c r="FU39" s="30"/>
      <c r="FV39" s="30"/>
      <c r="FW39" s="30"/>
      <c r="FX39" s="30"/>
      <c r="FY39" s="30"/>
      <c r="FZ39" s="30"/>
      <c r="GA39" s="30"/>
      <c r="GB39" s="30"/>
      <c r="GC39" s="30"/>
      <c r="GD39" s="30"/>
      <c r="GE39" s="30"/>
      <c r="GF39" s="1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2"/>
    </row>
    <row r="40" spans="1:502" ht="5.0999999999999996" customHeight="1" x14ac:dyDescent="0.25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1"/>
      <c r="DK40" s="30"/>
      <c r="DL40" s="30"/>
      <c r="DM40" s="30"/>
      <c r="DN40" s="30"/>
      <c r="DO40" s="30"/>
      <c r="DP40" s="30"/>
      <c r="DQ40" s="30"/>
      <c r="DR40" s="30"/>
      <c r="DS40" s="30"/>
      <c r="DT40" s="30"/>
      <c r="DU40" s="30"/>
      <c r="DV40" s="30"/>
      <c r="DW40" s="30"/>
      <c r="DX40" s="30"/>
      <c r="DY40" s="30"/>
      <c r="DZ40" s="30"/>
      <c r="EA40" s="30"/>
      <c r="EB40" s="30"/>
      <c r="EC40" s="30"/>
      <c r="ED40" s="30"/>
      <c r="EE40" s="30"/>
      <c r="EF40" s="30"/>
      <c r="EG40" s="30"/>
      <c r="EH40" s="30"/>
      <c r="EI40" s="1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1"/>
      <c r="FI40" s="30"/>
      <c r="FJ40" s="30"/>
      <c r="FK40" s="30"/>
      <c r="FL40" s="30"/>
      <c r="FM40" s="30"/>
      <c r="FN40" s="30"/>
      <c r="FO40" s="30"/>
      <c r="FP40" s="30"/>
      <c r="FQ40" s="30"/>
      <c r="FR40" s="30"/>
      <c r="FS40" s="30"/>
      <c r="FT40" s="30"/>
      <c r="FU40" s="30"/>
      <c r="FV40" s="30"/>
      <c r="FW40" s="30"/>
      <c r="FX40" s="30"/>
      <c r="FY40" s="30"/>
      <c r="FZ40" s="30"/>
      <c r="GA40" s="30"/>
      <c r="GB40" s="30"/>
      <c r="GC40" s="30"/>
      <c r="GD40" s="30"/>
      <c r="GE40" s="30"/>
      <c r="GF40" s="30"/>
      <c r="GG40" s="1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2"/>
    </row>
    <row r="41" spans="1:502" ht="5.0999999999999996" customHeight="1" x14ac:dyDescent="0.25">
      <c r="A41" s="2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1"/>
      <c r="DJ41" s="30"/>
      <c r="DK41" s="30"/>
      <c r="DL41" s="30"/>
      <c r="DM41" s="30"/>
      <c r="DN41" s="30"/>
      <c r="DO41" s="30"/>
      <c r="DP41" s="30"/>
      <c r="DQ41" s="30"/>
      <c r="DR41" s="30"/>
      <c r="DS41" s="30"/>
      <c r="DT41" s="30"/>
      <c r="DU41" s="30"/>
      <c r="DV41" s="30"/>
      <c r="DW41" s="30"/>
      <c r="DX41" s="30"/>
      <c r="DY41" s="30"/>
      <c r="DZ41" s="30"/>
      <c r="EA41" s="30"/>
      <c r="EB41" s="30"/>
      <c r="EC41" s="30"/>
      <c r="ED41" s="30"/>
      <c r="EE41" s="30"/>
      <c r="EF41" s="30"/>
      <c r="EG41" s="30"/>
      <c r="EH41" s="30"/>
      <c r="EI41" s="30"/>
      <c r="EJ41" s="1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1"/>
      <c r="FH41" s="30"/>
      <c r="FI41" s="30"/>
      <c r="FJ41" s="30"/>
      <c r="FK41" s="30"/>
      <c r="FL41" s="30"/>
      <c r="FM41" s="30"/>
      <c r="FN41" s="30"/>
      <c r="FO41" s="30"/>
      <c r="FP41" s="30"/>
      <c r="FQ41" s="30"/>
      <c r="FR41" s="30"/>
      <c r="FS41" s="30"/>
      <c r="FT41" s="30"/>
      <c r="FU41" s="30"/>
      <c r="FV41" s="30"/>
      <c r="FW41" s="30"/>
      <c r="FX41" s="30"/>
      <c r="FY41" s="30"/>
      <c r="FZ41" s="30"/>
      <c r="GA41" s="30"/>
      <c r="GB41" s="30"/>
      <c r="GC41" s="30"/>
      <c r="GD41" s="30"/>
      <c r="GE41" s="30"/>
      <c r="GF41" s="30"/>
      <c r="GG41" s="30"/>
      <c r="GH41" s="1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2"/>
    </row>
    <row r="42" spans="1:502" ht="5.0999999999999996" customHeight="1" x14ac:dyDescent="0.25">
      <c r="A42" s="2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7"/>
      <c r="DI42" s="30"/>
      <c r="DJ42" s="30"/>
      <c r="DK42" s="30"/>
      <c r="DL42" s="30"/>
      <c r="DM42" s="30"/>
      <c r="DN42" s="30"/>
      <c r="DO42" s="30"/>
      <c r="DP42" s="30"/>
      <c r="DQ42" s="30"/>
      <c r="DR42" s="30"/>
      <c r="DS42" s="30"/>
      <c r="DT42" s="30"/>
      <c r="DU42" s="30"/>
      <c r="DV42" s="30"/>
      <c r="DW42" s="30"/>
      <c r="DX42" s="30"/>
      <c r="DY42" s="30"/>
      <c r="DZ42" s="30"/>
      <c r="EA42" s="30"/>
      <c r="EB42" s="30"/>
      <c r="EC42" s="30"/>
      <c r="ED42" s="30"/>
      <c r="EE42" s="30"/>
      <c r="EF42" s="30"/>
      <c r="EG42" s="30"/>
      <c r="EH42" s="30"/>
      <c r="EI42" s="30"/>
      <c r="EJ42" s="30"/>
      <c r="EK42" s="7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7"/>
      <c r="FG42" s="30"/>
      <c r="FH42" s="30"/>
      <c r="FI42" s="30"/>
      <c r="FJ42" s="30"/>
      <c r="FK42" s="30"/>
      <c r="FL42" s="30"/>
      <c r="FM42" s="30"/>
      <c r="FN42" s="30"/>
      <c r="FO42" s="30"/>
      <c r="FP42" s="30"/>
      <c r="FQ42" s="30"/>
      <c r="FR42" s="30"/>
      <c r="FS42" s="30"/>
      <c r="FT42" s="30"/>
      <c r="FU42" s="30"/>
      <c r="FV42" s="30"/>
      <c r="FW42" s="30"/>
      <c r="FX42" s="30"/>
      <c r="FY42" s="30"/>
      <c r="FZ42" s="30"/>
      <c r="GA42" s="30"/>
      <c r="GB42" s="30"/>
      <c r="GC42" s="30"/>
      <c r="GD42" s="30"/>
      <c r="GE42" s="30"/>
      <c r="GF42" s="30"/>
      <c r="GG42" s="30"/>
      <c r="GH42" s="30"/>
      <c r="GI42" s="7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2"/>
    </row>
    <row r="43" spans="1:502" ht="5.0999999999999996" customHeight="1" x14ac:dyDescent="0.25">
      <c r="A43" s="2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1"/>
      <c r="DI43" s="30"/>
      <c r="DJ43" s="30"/>
      <c r="DK43" s="30"/>
      <c r="DL43" s="30"/>
      <c r="DM43" s="30"/>
      <c r="DN43" s="30"/>
      <c r="DO43" s="30"/>
      <c r="DP43" s="30"/>
      <c r="DQ43" s="30"/>
      <c r="DR43" s="30"/>
      <c r="DS43" s="30"/>
      <c r="DT43" s="30"/>
      <c r="DU43" s="30"/>
      <c r="DV43" s="30"/>
      <c r="DW43" s="30"/>
      <c r="DX43" s="30"/>
      <c r="DY43" s="30"/>
      <c r="DZ43" s="30"/>
      <c r="EA43" s="30"/>
      <c r="EB43" s="30"/>
      <c r="EC43" s="30"/>
      <c r="ED43" s="30"/>
      <c r="EE43" s="30"/>
      <c r="EF43" s="30"/>
      <c r="EG43" s="30"/>
      <c r="EH43" s="30"/>
      <c r="EI43" s="30"/>
      <c r="EJ43" s="30"/>
      <c r="EK43" s="1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1"/>
      <c r="FG43" s="30"/>
      <c r="FH43" s="30"/>
      <c r="FI43" s="30"/>
      <c r="FJ43" s="30"/>
      <c r="FK43" s="30"/>
      <c r="FL43" s="30"/>
      <c r="FM43" s="30"/>
      <c r="FN43" s="30"/>
      <c r="FO43" s="30"/>
      <c r="FP43" s="30"/>
      <c r="FQ43" s="30"/>
      <c r="FR43" s="30"/>
      <c r="FS43" s="30"/>
      <c r="FT43" s="30"/>
      <c r="FU43" s="30"/>
      <c r="FV43" s="30"/>
      <c r="FW43" s="30"/>
      <c r="FX43" s="30"/>
      <c r="FY43" s="30"/>
      <c r="FZ43" s="30"/>
      <c r="GA43" s="30"/>
      <c r="GB43" s="30"/>
      <c r="GC43" s="30"/>
      <c r="GD43" s="30"/>
      <c r="GE43" s="30"/>
      <c r="GF43" s="30"/>
      <c r="GG43" s="30"/>
      <c r="GH43" s="30"/>
      <c r="GI43" s="1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1"/>
      <c r="RB43" s="1"/>
      <c r="RC43" s="1"/>
      <c r="RD43" s="1"/>
      <c r="RE43" s="1"/>
      <c r="RF43" s="1"/>
      <c r="RG43" s="1"/>
      <c r="RH43" s="1"/>
      <c r="RI43" s="1"/>
      <c r="RJ43" s="1"/>
      <c r="RK43" s="1"/>
      <c r="RL43" s="1"/>
      <c r="RM43" s="1"/>
      <c r="RN43" s="1"/>
      <c r="RO43" s="1"/>
      <c r="RP43" s="1"/>
      <c r="RQ43" s="1"/>
      <c r="RR43" s="1"/>
      <c r="RS43" s="1"/>
      <c r="RT43" s="1"/>
      <c r="RU43" s="1"/>
      <c r="RV43" s="1"/>
      <c r="RW43" s="1"/>
      <c r="RX43" s="1"/>
      <c r="RY43" s="1"/>
      <c r="RZ43" s="1"/>
      <c r="SA43" s="1"/>
      <c r="SB43" s="1"/>
      <c r="SC43" s="1"/>
      <c r="SD43" s="1"/>
      <c r="SE43" s="1"/>
      <c r="SF43" s="1"/>
      <c r="SG43" s="1"/>
      <c r="SH43" s="2"/>
    </row>
    <row r="44" spans="1:502" ht="5.0999999999999996" customHeight="1" x14ac:dyDescent="0.25">
      <c r="A44" s="2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7"/>
      <c r="DH44" s="30"/>
      <c r="DI44" s="30"/>
      <c r="DJ44" s="30"/>
      <c r="DK44" s="30"/>
      <c r="DL44" s="30"/>
      <c r="DM44" s="30"/>
      <c r="DN44" s="30"/>
      <c r="DO44" s="30"/>
      <c r="DP44" s="30"/>
      <c r="DQ44" s="30"/>
      <c r="DR44" s="30"/>
      <c r="DS44" s="30"/>
      <c r="DT44" s="30"/>
      <c r="DU44" s="30"/>
      <c r="DV44" s="30"/>
      <c r="DW44" s="30"/>
      <c r="DX44" s="30"/>
      <c r="DY44" s="30"/>
      <c r="DZ44" s="30"/>
      <c r="EA44" s="30"/>
      <c r="EB44" s="30"/>
      <c r="EC44" s="30"/>
      <c r="ED44" s="30"/>
      <c r="EE44" s="30"/>
      <c r="EF44" s="30"/>
      <c r="EG44" s="30"/>
      <c r="EH44" s="30"/>
      <c r="EI44" s="30"/>
      <c r="EJ44" s="30"/>
      <c r="EK44" s="30"/>
      <c r="EL44" s="7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7"/>
      <c r="FF44" s="30"/>
      <c r="FG44" s="30"/>
      <c r="FH44" s="30"/>
      <c r="FI44" s="30"/>
      <c r="FJ44" s="30"/>
      <c r="FK44" s="30"/>
      <c r="FL44" s="30"/>
      <c r="FM44" s="30"/>
      <c r="FN44" s="30"/>
      <c r="FO44" s="30"/>
      <c r="FP44" s="30"/>
      <c r="FQ44" s="30"/>
      <c r="FR44" s="30"/>
      <c r="FS44" s="30"/>
      <c r="FT44" s="30"/>
      <c r="FU44" s="30"/>
      <c r="FV44" s="30"/>
      <c r="FW44" s="30"/>
      <c r="FX44" s="30"/>
      <c r="FY44" s="30"/>
      <c r="FZ44" s="30"/>
      <c r="GA44" s="30"/>
      <c r="GB44" s="30"/>
      <c r="GC44" s="30"/>
      <c r="GD44" s="30"/>
      <c r="GE44" s="30"/>
      <c r="GF44" s="30"/>
      <c r="GG44" s="30"/>
      <c r="GH44" s="30"/>
      <c r="GI44" s="30"/>
      <c r="GJ44" s="7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  <c r="SG44" s="1"/>
      <c r="SH44" s="2"/>
    </row>
    <row r="45" spans="1:502" ht="5.0999999999999996" customHeight="1" x14ac:dyDescent="0.25">
      <c r="A45" s="2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1"/>
      <c r="DH45" s="30"/>
      <c r="DI45" s="30"/>
      <c r="DJ45" s="30"/>
      <c r="DK45" s="30"/>
      <c r="DL45" s="30"/>
      <c r="DM45" s="30"/>
      <c r="DN45" s="30"/>
      <c r="DO45" s="30"/>
      <c r="DP45" s="30"/>
      <c r="DQ45" s="30"/>
      <c r="DR45" s="30"/>
      <c r="DS45" s="30"/>
      <c r="DT45" s="30"/>
      <c r="DU45" s="30"/>
      <c r="DV45" s="30"/>
      <c r="DW45" s="30"/>
      <c r="DX45" s="30"/>
      <c r="DY45" s="30"/>
      <c r="DZ45" s="30"/>
      <c r="EA45" s="30"/>
      <c r="EB45" s="30"/>
      <c r="EC45" s="30"/>
      <c r="ED45" s="30"/>
      <c r="EE45" s="30"/>
      <c r="EF45" s="30"/>
      <c r="EG45" s="30"/>
      <c r="EH45" s="30"/>
      <c r="EI45" s="30"/>
      <c r="EJ45" s="30"/>
      <c r="EK45" s="30"/>
      <c r="EL45" s="1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1"/>
      <c r="FF45" s="30"/>
      <c r="FG45" s="30"/>
      <c r="FH45" s="30"/>
      <c r="FI45" s="30"/>
      <c r="FJ45" s="30"/>
      <c r="FK45" s="30"/>
      <c r="FL45" s="30"/>
      <c r="FM45" s="30"/>
      <c r="FN45" s="30"/>
      <c r="FO45" s="30"/>
      <c r="FP45" s="30"/>
      <c r="FQ45" s="30"/>
      <c r="FR45" s="30"/>
      <c r="FS45" s="30"/>
      <c r="FT45" s="30"/>
      <c r="FU45" s="30"/>
      <c r="FV45" s="30"/>
      <c r="FW45" s="30"/>
      <c r="FX45" s="30"/>
      <c r="FY45" s="30"/>
      <c r="FZ45" s="30"/>
      <c r="GA45" s="30"/>
      <c r="GB45" s="30"/>
      <c r="GC45" s="30"/>
      <c r="GD45" s="30"/>
      <c r="GE45" s="30"/>
      <c r="GF45" s="30"/>
      <c r="GG45" s="30"/>
      <c r="GH45" s="30"/>
      <c r="GI45" s="30"/>
      <c r="GJ45" s="1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2"/>
    </row>
    <row r="46" spans="1:502" ht="5.0999999999999996" customHeight="1" x14ac:dyDescent="0.25">
      <c r="A46" s="2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7"/>
      <c r="DG46" s="30"/>
      <c r="DH46" s="30"/>
      <c r="DI46" s="30"/>
      <c r="DJ46" s="30"/>
      <c r="DK46" s="30"/>
      <c r="DL46" s="30"/>
      <c r="DM46" s="30"/>
      <c r="DN46" s="30"/>
      <c r="DO46" s="30"/>
      <c r="DP46" s="30"/>
      <c r="DQ46" s="30"/>
      <c r="DR46" s="30"/>
      <c r="DS46" s="30"/>
      <c r="DT46" s="30"/>
      <c r="DU46" s="30"/>
      <c r="DV46" s="30"/>
      <c r="DW46" s="30"/>
      <c r="DX46" s="30"/>
      <c r="DY46" s="30"/>
      <c r="DZ46" s="30"/>
      <c r="EA46" s="30"/>
      <c r="EB46" s="30"/>
      <c r="EC46" s="30"/>
      <c r="ED46" s="30"/>
      <c r="EE46" s="30"/>
      <c r="EF46" s="30"/>
      <c r="EG46" s="30"/>
      <c r="EH46" s="30"/>
      <c r="EI46" s="30"/>
      <c r="EJ46" s="30"/>
      <c r="EK46" s="30"/>
      <c r="EL46" s="30"/>
      <c r="EM46" s="7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7"/>
      <c r="FE46" s="30"/>
      <c r="FF46" s="30"/>
      <c r="FG46" s="30"/>
      <c r="FH46" s="30"/>
      <c r="FI46" s="30"/>
      <c r="FJ46" s="30"/>
      <c r="FK46" s="30"/>
      <c r="FL46" s="30"/>
      <c r="FM46" s="30"/>
      <c r="FN46" s="30"/>
      <c r="FO46" s="30"/>
      <c r="FP46" s="30"/>
      <c r="FQ46" s="30"/>
      <c r="FR46" s="30"/>
      <c r="FS46" s="30"/>
      <c r="FT46" s="30"/>
      <c r="FU46" s="30"/>
      <c r="FV46" s="30"/>
      <c r="FW46" s="30"/>
      <c r="FX46" s="30"/>
      <c r="FY46" s="30"/>
      <c r="FZ46" s="30"/>
      <c r="GA46" s="30"/>
      <c r="GB46" s="30"/>
      <c r="GC46" s="30"/>
      <c r="GD46" s="30"/>
      <c r="GE46" s="30"/>
      <c r="GF46" s="30"/>
      <c r="GG46" s="30"/>
      <c r="GH46" s="30"/>
      <c r="GI46" s="30"/>
      <c r="GJ46" s="30"/>
      <c r="GK46" s="7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2"/>
    </row>
    <row r="47" spans="1:502" ht="5.0999999999999996" customHeight="1" x14ac:dyDescent="0.25">
      <c r="A47" s="2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1"/>
      <c r="DG47" s="30"/>
      <c r="DH47" s="30"/>
      <c r="DI47" s="30"/>
      <c r="DJ47" s="30"/>
      <c r="DK47" s="30"/>
      <c r="DL47" s="30"/>
      <c r="DM47" s="30"/>
      <c r="DN47" s="30"/>
      <c r="DO47" s="30"/>
      <c r="DP47" s="30"/>
      <c r="DQ47" s="30"/>
      <c r="DR47" s="30"/>
      <c r="DS47" s="30"/>
      <c r="DT47" s="30"/>
      <c r="DU47" s="30"/>
      <c r="DV47" s="30"/>
      <c r="DW47" s="30"/>
      <c r="DX47" s="30"/>
      <c r="DY47" s="30"/>
      <c r="DZ47" s="30"/>
      <c r="EA47" s="30"/>
      <c r="EB47" s="30"/>
      <c r="EC47" s="30"/>
      <c r="ED47" s="30"/>
      <c r="EE47" s="30"/>
      <c r="EF47" s="30"/>
      <c r="EG47" s="30"/>
      <c r="EH47" s="30"/>
      <c r="EI47" s="30"/>
      <c r="EJ47" s="30"/>
      <c r="EK47" s="30"/>
      <c r="EL47" s="30"/>
      <c r="EM47" s="1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1"/>
      <c r="FE47" s="30"/>
      <c r="FF47" s="30"/>
      <c r="FG47" s="30"/>
      <c r="FH47" s="30"/>
      <c r="FI47" s="30"/>
      <c r="FJ47" s="30"/>
      <c r="FK47" s="30"/>
      <c r="FL47" s="30"/>
      <c r="FM47" s="30"/>
      <c r="FN47" s="30"/>
      <c r="FO47" s="30"/>
      <c r="FP47" s="30"/>
      <c r="FQ47" s="30"/>
      <c r="FR47" s="30"/>
      <c r="FS47" s="30"/>
      <c r="FT47" s="30"/>
      <c r="FU47" s="30"/>
      <c r="FV47" s="30"/>
      <c r="FW47" s="30"/>
      <c r="FX47" s="30"/>
      <c r="FY47" s="30"/>
      <c r="FZ47" s="30"/>
      <c r="GA47" s="30"/>
      <c r="GB47" s="30"/>
      <c r="GC47" s="30"/>
      <c r="GD47" s="30"/>
      <c r="GE47" s="30"/>
      <c r="GF47" s="30"/>
      <c r="GG47" s="30"/>
      <c r="GH47" s="30"/>
      <c r="GI47" s="30"/>
      <c r="GJ47" s="30"/>
      <c r="GK47" s="1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2"/>
    </row>
    <row r="48" spans="1:502" ht="5.0999999999999996" customHeight="1" x14ac:dyDescent="0.25">
      <c r="A48" s="2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7"/>
      <c r="DF48" s="30"/>
      <c r="DG48" s="30"/>
      <c r="DH48" s="30"/>
      <c r="DI48" s="30"/>
      <c r="DJ48" s="30"/>
      <c r="DK48" s="30"/>
      <c r="DL48" s="30"/>
      <c r="DM48" s="30"/>
      <c r="DN48" s="30"/>
      <c r="DO48" s="30"/>
      <c r="DP48" s="30"/>
      <c r="DQ48" s="30"/>
      <c r="DR48" s="30"/>
      <c r="DS48" s="30"/>
      <c r="DT48" s="30"/>
      <c r="DU48" s="30"/>
      <c r="DV48" s="30"/>
      <c r="DW48" s="30"/>
      <c r="DX48" s="30"/>
      <c r="DY48" s="30"/>
      <c r="DZ48" s="30"/>
      <c r="EA48" s="30"/>
      <c r="EB48" s="30"/>
      <c r="EC48" s="30"/>
      <c r="ED48" s="30"/>
      <c r="EE48" s="30"/>
      <c r="EF48" s="30"/>
      <c r="EG48" s="30"/>
      <c r="EH48" s="30"/>
      <c r="EI48" s="30"/>
      <c r="EJ48" s="30"/>
      <c r="EK48" s="30"/>
      <c r="EL48" s="30"/>
      <c r="EM48" s="30"/>
      <c r="EN48" s="7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7"/>
      <c r="FD48" s="30"/>
      <c r="FE48" s="30"/>
      <c r="FF48" s="30"/>
      <c r="FG48" s="30"/>
      <c r="FH48" s="30"/>
      <c r="FI48" s="30"/>
      <c r="FJ48" s="30"/>
      <c r="FK48" s="30"/>
      <c r="FL48" s="30"/>
      <c r="FM48" s="30"/>
      <c r="FN48" s="30"/>
      <c r="FO48" s="30"/>
      <c r="FP48" s="30"/>
      <c r="FQ48" s="30"/>
      <c r="FR48" s="30"/>
      <c r="FS48" s="30"/>
      <c r="FT48" s="30"/>
      <c r="FU48" s="30"/>
      <c r="FV48" s="30"/>
      <c r="FW48" s="30"/>
      <c r="FX48" s="30"/>
      <c r="FY48" s="30"/>
      <c r="FZ48" s="30"/>
      <c r="GA48" s="30"/>
      <c r="GB48" s="30"/>
      <c r="GC48" s="30"/>
      <c r="GD48" s="30"/>
      <c r="GE48" s="30"/>
      <c r="GF48" s="30"/>
      <c r="GG48" s="30"/>
      <c r="GH48" s="30"/>
      <c r="GI48" s="30"/>
      <c r="GJ48" s="30"/>
      <c r="GK48" s="30"/>
      <c r="GL48" s="7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2"/>
    </row>
    <row r="49" spans="1:502" ht="5.0999999999999996" customHeight="1" x14ac:dyDescent="0.25">
      <c r="A49" s="2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7"/>
      <c r="DF49" s="30"/>
      <c r="DG49" s="30"/>
      <c r="DH49" s="30"/>
      <c r="DI49" s="30"/>
      <c r="DJ49" s="30"/>
      <c r="DK49" s="30"/>
      <c r="DL49" s="30"/>
      <c r="DM49" s="30"/>
      <c r="DN49" s="30"/>
      <c r="DO49" s="30"/>
      <c r="DP49" s="30"/>
      <c r="DQ49" s="30"/>
      <c r="DR49" s="30"/>
      <c r="DS49" s="30"/>
      <c r="DT49" s="30"/>
      <c r="DU49" s="30"/>
      <c r="DV49" s="30"/>
      <c r="DW49" s="30"/>
      <c r="DX49" s="30"/>
      <c r="DY49" s="30"/>
      <c r="DZ49" s="30"/>
      <c r="EA49" s="30"/>
      <c r="EB49" s="30"/>
      <c r="EC49" s="30"/>
      <c r="ED49" s="30"/>
      <c r="EE49" s="30"/>
      <c r="EF49" s="30"/>
      <c r="EG49" s="30"/>
      <c r="EH49" s="30"/>
      <c r="EI49" s="30"/>
      <c r="EJ49" s="30"/>
      <c r="EK49" s="30"/>
      <c r="EL49" s="30"/>
      <c r="EM49" s="30"/>
      <c r="EN49" s="7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7"/>
      <c r="FD49" s="30"/>
      <c r="FE49" s="30"/>
      <c r="FF49" s="30"/>
      <c r="FG49" s="30"/>
      <c r="FH49" s="30"/>
      <c r="FI49" s="30"/>
      <c r="FJ49" s="30"/>
      <c r="FK49" s="30"/>
      <c r="FL49" s="30"/>
      <c r="FM49" s="30"/>
      <c r="FN49" s="30"/>
      <c r="FO49" s="30"/>
      <c r="FP49" s="30"/>
      <c r="FQ49" s="30"/>
      <c r="FR49" s="30"/>
      <c r="FS49" s="30"/>
      <c r="FT49" s="30"/>
      <c r="FU49" s="30"/>
      <c r="FV49" s="30"/>
      <c r="FW49" s="30"/>
      <c r="FX49" s="30"/>
      <c r="FY49" s="30"/>
      <c r="FZ49" s="30"/>
      <c r="GA49" s="30"/>
      <c r="GB49" s="30"/>
      <c r="GC49" s="30"/>
      <c r="GD49" s="30"/>
      <c r="GE49" s="30"/>
      <c r="GF49" s="30"/>
      <c r="GG49" s="30"/>
      <c r="GH49" s="30"/>
      <c r="GI49" s="30"/>
      <c r="GJ49" s="30"/>
      <c r="GK49" s="30"/>
      <c r="GL49" s="7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2"/>
    </row>
    <row r="50" spans="1:502" ht="5.0999999999999996" customHeight="1" x14ac:dyDescent="0.25">
      <c r="A50" s="2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7"/>
      <c r="DF50" s="30"/>
      <c r="DG50" s="30"/>
      <c r="DH50" s="30"/>
      <c r="DI50" s="30"/>
      <c r="DJ50" s="30"/>
      <c r="DK50" s="30"/>
      <c r="DL50" s="30"/>
      <c r="DM50" s="30"/>
      <c r="DN50" s="30"/>
      <c r="DO50" s="30"/>
      <c r="DP50" s="30"/>
      <c r="DQ50" s="30"/>
      <c r="DR50" s="30"/>
      <c r="DS50" s="30"/>
      <c r="DT50" s="30"/>
      <c r="DU50" s="30"/>
      <c r="DV50" s="30"/>
      <c r="DW50" s="30"/>
      <c r="DX50" s="30"/>
      <c r="DY50" s="30"/>
      <c r="DZ50" s="30"/>
      <c r="EA50" s="30"/>
      <c r="EB50" s="30"/>
      <c r="EC50" s="30"/>
      <c r="ED50" s="30"/>
      <c r="EE50" s="30"/>
      <c r="EF50" s="30"/>
      <c r="EG50" s="30"/>
      <c r="EH50" s="30"/>
      <c r="EI50" s="30"/>
      <c r="EJ50" s="30"/>
      <c r="EK50" s="30"/>
      <c r="EL50" s="30"/>
      <c r="EM50" s="30"/>
      <c r="EN50" s="7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7"/>
      <c r="FD50" s="30"/>
      <c r="FE50" s="30"/>
      <c r="FF50" s="30"/>
      <c r="FG50" s="30"/>
      <c r="FH50" s="30"/>
      <c r="FI50" s="30"/>
      <c r="FJ50" s="30"/>
      <c r="FK50" s="30"/>
      <c r="FL50" s="30"/>
      <c r="FM50" s="30"/>
      <c r="FN50" s="30"/>
      <c r="FO50" s="30"/>
      <c r="FP50" s="30"/>
      <c r="FQ50" s="30"/>
      <c r="FR50" s="30"/>
      <c r="FS50" s="30"/>
      <c r="FT50" s="30"/>
      <c r="FU50" s="30"/>
      <c r="FV50" s="30"/>
      <c r="FW50" s="30"/>
      <c r="FX50" s="30"/>
      <c r="FY50" s="30"/>
      <c r="FZ50" s="30"/>
      <c r="GA50" s="30"/>
      <c r="GB50" s="30"/>
      <c r="GC50" s="30"/>
      <c r="GD50" s="30"/>
      <c r="GE50" s="30"/>
      <c r="GF50" s="30"/>
      <c r="GG50" s="30"/>
      <c r="GH50" s="30"/>
      <c r="GI50" s="30"/>
      <c r="GJ50" s="30"/>
      <c r="GK50" s="30"/>
      <c r="GL50" s="7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2"/>
    </row>
    <row r="51" spans="1:502" ht="5.0999999999999996" customHeight="1" x14ac:dyDescent="0.25">
      <c r="A51" s="2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7"/>
      <c r="DF51" s="30"/>
      <c r="DG51" s="30"/>
      <c r="DH51" s="30"/>
      <c r="DI51" s="30"/>
      <c r="DJ51" s="30"/>
      <c r="DK51" s="30"/>
      <c r="DL51" s="30"/>
      <c r="DM51" s="30"/>
      <c r="DN51" s="30"/>
      <c r="DO51" s="30"/>
      <c r="DP51" s="30"/>
      <c r="DQ51" s="30"/>
      <c r="DR51" s="30"/>
      <c r="DS51" s="30"/>
      <c r="DT51" s="30"/>
      <c r="DU51" s="30"/>
      <c r="DV51" s="30"/>
      <c r="DW51" s="30"/>
      <c r="DX51" s="30"/>
      <c r="DY51" s="30"/>
      <c r="DZ51" s="30"/>
      <c r="EA51" s="30"/>
      <c r="EB51" s="30"/>
      <c r="EC51" s="30"/>
      <c r="ED51" s="30"/>
      <c r="EE51" s="30"/>
      <c r="EF51" s="30"/>
      <c r="EG51" s="30"/>
      <c r="EH51" s="30"/>
      <c r="EI51" s="30"/>
      <c r="EJ51" s="30"/>
      <c r="EK51" s="30"/>
      <c r="EL51" s="30"/>
      <c r="EM51" s="30"/>
      <c r="EN51" s="7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7"/>
      <c r="FD51" s="30"/>
      <c r="FE51" s="30"/>
      <c r="FF51" s="30"/>
      <c r="FG51" s="30"/>
      <c r="FH51" s="30"/>
      <c r="FI51" s="30"/>
      <c r="FJ51" s="30"/>
      <c r="FK51" s="30"/>
      <c r="FL51" s="30"/>
      <c r="FM51" s="30"/>
      <c r="FN51" s="30"/>
      <c r="FO51" s="30"/>
      <c r="FP51" s="30"/>
      <c r="FQ51" s="30"/>
      <c r="FR51" s="30"/>
      <c r="FS51" s="30"/>
      <c r="FT51" s="30"/>
      <c r="FU51" s="30"/>
      <c r="FV51" s="30"/>
      <c r="FW51" s="30"/>
      <c r="FX51" s="30"/>
      <c r="FY51" s="30"/>
      <c r="FZ51" s="30"/>
      <c r="GA51" s="30"/>
      <c r="GB51" s="30"/>
      <c r="GC51" s="30"/>
      <c r="GD51" s="30"/>
      <c r="GE51" s="30"/>
      <c r="GF51" s="30"/>
      <c r="GG51" s="30"/>
      <c r="GH51" s="30"/>
      <c r="GI51" s="30"/>
      <c r="GJ51" s="30"/>
      <c r="GK51" s="30"/>
      <c r="GL51" s="7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2"/>
    </row>
    <row r="52" spans="1:502" ht="5.0999999999999996" customHeight="1" x14ac:dyDescent="0.25">
      <c r="A52" s="2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7"/>
      <c r="DF52" s="30"/>
      <c r="DG52" s="30"/>
      <c r="DH52" s="30"/>
      <c r="DI52" s="30"/>
      <c r="DJ52" s="30"/>
      <c r="DK52" s="30"/>
      <c r="DL52" s="30"/>
      <c r="DM52" s="30"/>
      <c r="DN52" s="30"/>
      <c r="DO52" s="30"/>
      <c r="DP52" s="30"/>
      <c r="DQ52" s="30"/>
      <c r="DR52" s="30"/>
      <c r="DS52" s="30"/>
      <c r="DT52" s="30"/>
      <c r="DU52" s="30"/>
      <c r="DV52" s="30"/>
      <c r="DW52" s="30"/>
      <c r="DX52" s="30"/>
      <c r="DY52" s="30"/>
      <c r="DZ52" s="30"/>
      <c r="EA52" s="30"/>
      <c r="EB52" s="30"/>
      <c r="EC52" s="30"/>
      <c r="ED52" s="30"/>
      <c r="EE52" s="30"/>
      <c r="EF52" s="30"/>
      <c r="EG52" s="30"/>
      <c r="EH52" s="30"/>
      <c r="EI52" s="30"/>
      <c r="EJ52" s="30"/>
      <c r="EK52" s="30"/>
      <c r="EL52" s="30"/>
      <c r="EM52" s="30"/>
      <c r="EN52" s="7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7"/>
      <c r="FD52" s="30"/>
      <c r="FE52" s="30"/>
      <c r="FF52" s="30"/>
      <c r="FG52" s="30"/>
      <c r="FH52" s="30"/>
      <c r="FI52" s="30"/>
      <c r="FJ52" s="30"/>
      <c r="FK52" s="30"/>
      <c r="FL52" s="30"/>
      <c r="FM52" s="30"/>
      <c r="FN52" s="30"/>
      <c r="FO52" s="30"/>
      <c r="FP52" s="30"/>
      <c r="FQ52" s="30"/>
      <c r="FR52" s="30"/>
      <c r="FS52" s="30"/>
      <c r="FT52" s="30"/>
      <c r="FU52" s="30"/>
      <c r="FV52" s="30"/>
      <c r="FW52" s="30"/>
      <c r="FX52" s="30"/>
      <c r="FY52" s="30"/>
      <c r="FZ52" s="30"/>
      <c r="GA52" s="30"/>
      <c r="GB52" s="30"/>
      <c r="GC52" s="30"/>
      <c r="GD52" s="30"/>
      <c r="GE52" s="30"/>
      <c r="GF52" s="30"/>
      <c r="GG52" s="30"/>
      <c r="GH52" s="30"/>
      <c r="GI52" s="30"/>
      <c r="GJ52" s="30"/>
      <c r="GK52" s="30"/>
      <c r="GL52" s="7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2"/>
    </row>
    <row r="53" spans="1:502" ht="5.0999999999999996" customHeight="1" x14ac:dyDescent="0.25">
      <c r="A53" s="2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7"/>
      <c r="DF53" s="30"/>
      <c r="DG53" s="30"/>
      <c r="DH53" s="30"/>
      <c r="DI53" s="30"/>
      <c r="DJ53" s="30"/>
      <c r="DK53" s="30"/>
      <c r="DL53" s="30"/>
      <c r="DM53" s="30"/>
      <c r="DN53" s="30"/>
      <c r="DO53" s="30"/>
      <c r="DP53" s="30"/>
      <c r="DQ53" s="30"/>
      <c r="DR53" s="30"/>
      <c r="DS53" s="30"/>
      <c r="DT53" s="30"/>
      <c r="DU53" s="30"/>
      <c r="DV53" s="30"/>
      <c r="DW53" s="30"/>
      <c r="DX53" s="30"/>
      <c r="DY53" s="30"/>
      <c r="DZ53" s="30"/>
      <c r="EA53" s="30"/>
      <c r="EB53" s="30"/>
      <c r="EC53" s="30"/>
      <c r="ED53" s="30"/>
      <c r="EE53" s="30"/>
      <c r="EF53" s="30"/>
      <c r="EG53" s="30"/>
      <c r="EH53" s="30"/>
      <c r="EI53" s="30"/>
      <c r="EJ53" s="30"/>
      <c r="EK53" s="30"/>
      <c r="EL53" s="30"/>
      <c r="EM53" s="30"/>
      <c r="EN53" s="7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7"/>
      <c r="FD53" s="30"/>
      <c r="FE53" s="30"/>
      <c r="FF53" s="30"/>
      <c r="FG53" s="30"/>
      <c r="FH53" s="30"/>
      <c r="FI53" s="30"/>
      <c r="FJ53" s="30"/>
      <c r="FK53" s="30"/>
      <c r="FL53" s="30"/>
      <c r="FM53" s="30"/>
      <c r="FN53" s="30"/>
      <c r="FO53" s="30"/>
      <c r="FP53" s="30"/>
      <c r="FQ53" s="30"/>
      <c r="FR53" s="30"/>
      <c r="FS53" s="30"/>
      <c r="FT53" s="30"/>
      <c r="FU53" s="30"/>
      <c r="FV53" s="30"/>
      <c r="FW53" s="30"/>
      <c r="FX53" s="30"/>
      <c r="FY53" s="30"/>
      <c r="FZ53" s="30"/>
      <c r="GA53" s="30"/>
      <c r="GB53" s="30"/>
      <c r="GC53" s="30"/>
      <c r="GD53" s="30"/>
      <c r="GE53" s="30"/>
      <c r="GF53" s="30"/>
      <c r="GG53" s="30"/>
      <c r="GH53" s="30"/>
      <c r="GI53" s="30"/>
      <c r="GJ53" s="30"/>
      <c r="GK53" s="30"/>
      <c r="GL53" s="7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2"/>
    </row>
    <row r="54" spans="1:502" ht="5.0999999999999996" customHeight="1" x14ac:dyDescent="0.25">
      <c r="A54" s="2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7"/>
      <c r="DF54" s="30"/>
      <c r="DG54" s="30"/>
      <c r="DH54" s="30"/>
      <c r="DI54" s="30"/>
      <c r="DJ54" s="30"/>
      <c r="DK54" s="30"/>
      <c r="DL54" s="30"/>
      <c r="DM54" s="30"/>
      <c r="DN54" s="30"/>
      <c r="DO54" s="30"/>
      <c r="DP54" s="30"/>
      <c r="DQ54" s="30"/>
      <c r="DR54" s="30"/>
      <c r="DS54" s="30"/>
      <c r="DT54" s="30"/>
      <c r="DU54" s="30"/>
      <c r="DV54" s="30"/>
      <c r="DW54" s="30"/>
      <c r="DX54" s="30"/>
      <c r="DY54" s="30"/>
      <c r="DZ54" s="30"/>
      <c r="EA54" s="30"/>
      <c r="EB54" s="30"/>
      <c r="EC54" s="30"/>
      <c r="ED54" s="30"/>
      <c r="EE54" s="30"/>
      <c r="EF54" s="30"/>
      <c r="EG54" s="30"/>
      <c r="EH54" s="30"/>
      <c r="EI54" s="30"/>
      <c r="EJ54" s="30"/>
      <c r="EK54" s="30"/>
      <c r="EL54" s="30"/>
      <c r="EM54" s="30"/>
      <c r="EN54" s="7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7"/>
      <c r="FD54" s="30"/>
      <c r="FE54" s="30"/>
      <c r="FF54" s="30"/>
      <c r="FG54" s="30"/>
      <c r="FH54" s="30"/>
      <c r="FI54" s="30"/>
      <c r="FJ54" s="30"/>
      <c r="FK54" s="30"/>
      <c r="FL54" s="30"/>
      <c r="FM54" s="30"/>
      <c r="FN54" s="30"/>
      <c r="FO54" s="30"/>
      <c r="FP54" s="30"/>
      <c r="FQ54" s="30"/>
      <c r="FR54" s="30"/>
      <c r="FS54" s="30"/>
      <c r="FT54" s="30"/>
      <c r="FU54" s="30"/>
      <c r="FV54" s="30"/>
      <c r="FW54" s="30"/>
      <c r="FX54" s="30"/>
      <c r="FY54" s="30"/>
      <c r="FZ54" s="30"/>
      <c r="GA54" s="30"/>
      <c r="GB54" s="30"/>
      <c r="GC54" s="30"/>
      <c r="GD54" s="30"/>
      <c r="GE54" s="30"/>
      <c r="GF54" s="30"/>
      <c r="GG54" s="30"/>
      <c r="GH54" s="30"/>
      <c r="GI54" s="30"/>
      <c r="GJ54" s="30"/>
      <c r="GK54" s="30"/>
      <c r="GL54" s="7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2"/>
    </row>
    <row r="55" spans="1:502" ht="5.0999999999999996" customHeight="1" x14ac:dyDescent="0.25">
      <c r="A55" s="2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7"/>
      <c r="DF55" s="30"/>
      <c r="DG55" s="30"/>
      <c r="DH55" s="30"/>
      <c r="DI55" s="30"/>
      <c r="DJ55" s="30"/>
      <c r="DK55" s="30"/>
      <c r="DL55" s="30"/>
      <c r="DM55" s="30"/>
      <c r="DN55" s="30"/>
      <c r="DO55" s="30"/>
      <c r="DP55" s="30"/>
      <c r="DQ55" s="30"/>
      <c r="DR55" s="30"/>
      <c r="DS55" s="30"/>
      <c r="DT55" s="30"/>
      <c r="DU55" s="30"/>
      <c r="DV55" s="30"/>
      <c r="DW55" s="30"/>
      <c r="DX55" s="30"/>
      <c r="DY55" s="30"/>
      <c r="DZ55" s="30"/>
      <c r="EA55" s="30"/>
      <c r="EB55" s="30"/>
      <c r="EC55" s="30"/>
      <c r="ED55" s="30"/>
      <c r="EE55" s="30"/>
      <c r="EF55" s="30"/>
      <c r="EG55" s="30"/>
      <c r="EH55" s="30"/>
      <c r="EI55" s="30"/>
      <c r="EJ55" s="30"/>
      <c r="EK55" s="30"/>
      <c r="EL55" s="30"/>
      <c r="EM55" s="30"/>
      <c r="EN55" s="7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7"/>
      <c r="FD55" s="30"/>
      <c r="FE55" s="30"/>
      <c r="FF55" s="30"/>
      <c r="FG55" s="30"/>
      <c r="FH55" s="30"/>
      <c r="FI55" s="30"/>
      <c r="FJ55" s="30"/>
      <c r="FK55" s="30"/>
      <c r="FL55" s="30"/>
      <c r="FM55" s="30"/>
      <c r="FN55" s="30"/>
      <c r="FO55" s="30"/>
      <c r="FP55" s="30"/>
      <c r="FQ55" s="30"/>
      <c r="FR55" s="30"/>
      <c r="FS55" s="30"/>
      <c r="FT55" s="30"/>
      <c r="FU55" s="30"/>
      <c r="FV55" s="30"/>
      <c r="FW55" s="30"/>
      <c r="FX55" s="30"/>
      <c r="FY55" s="30"/>
      <c r="FZ55" s="30"/>
      <c r="GA55" s="30"/>
      <c r="GB55" s="30"/>
      <c r="GC55" s="30"/>
      <c r="GD55" s="30"/>
      <c r="GE55" s="30"/>
      <c r="GF55" s="30"/>
      <c r="GG55" s="30"/>
      <c r="GH55" s="30"/>
      <c r="GI55" s="30"/>
      <c r="GJ55" s="30"/>
      <c r="GK55" s="30"/>
      <c r="GL55" s="7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2"/>
    </row>
    <row r="56" spans="1:502" ht="5.0999999999999996" customHeight="1" x14ac:dyDescent="0.25">
      <c r="A56" s="2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1"/>
      <c r="DG56" s="30"/>
      <c r="DH56" s="30"/>
      <c r="DI56" s="30"/>
      <c r="DJ56" s="30"/>
      <c r="DK56" s="30"/>
      <c r="DL56" s="30"/>
      <c r="DM56" s="30"/>
      <c r="DN56" s="30"/>
      <c r="DO56" s="30"/>
      <c r="DP56" s="30"/>
      <c r="DQ56" s="30"/>
      <c r="DR56" s="30"/>
      <c r="DS56" s="30"/>
      <c r="DT56" s="30"/>
      <c r="DU56" s="30"/>
      <c r="DV56" s="30"/>
      <c r="DW56" s="30"/>
      <c r="DX56" s="30"/>
      <c r="DY56" s="30"/>
      <c r="DZ56" s="30"/>
      <c r="EA56" s="30"/>
      <c r="EB56" s="30"/>
      <c r="EC56" s="30"/>
      <c r="ED56" s="30"/>
      <c r="EE56" s="30"/>
      <c r="EF56" s="30"/>
      <c r="EG56" s="30"/>
      <c r="EH56" s="30"/>
      <c r="EI56" s="30"/>
      <c r="EJ56" s="30"/>
      <c r="EK56" s="30"/>
      <c r="EL56" s="30"/>
      <c r="EM56" s="1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1"/>
      <c r="FE56" s="30"/>
      <c r="FF56" s="30"/>
      <c r="FG56" s="30"/>
      <c r="FH56" s="30"/>
      <c r="FI56" s="30"/>
      <c r="FJ56" s="30"/>
      <c r="FK56" s="30"/>
      <c r="FL56" s="30"/>
      <c r="FM56" s="30"/>
      <c r="FN56" s="30"/>
      <c r="FO56" s="30"/>
      <c r="FP56" s="30"/>
      <c r="FQ56" s="30"/>
      <c r="FR56" s="30"/>
      <c r="FS56" s="30"/>
      <c r="FT56" s="30"/>
      <c r="FU56" s="30"/>
      <c r="FV56" s="30"/>
      <c r="FW56" s="30"/>
      <c r="FX56" s="30"/>
      <c r="FY56" s="30"/>
      <c r="FZ56" s="30"/>
      <c r="GA56" s="30"/>
      <c r="GB56" s="30"/>
      <c r="GC56" s="30"/>
      <c r="GD56" s="30"/>
      <c r="GE56" s="30"/>
      <c r="GF56" s="30"/>
      <c r="GG56" s="30"/>
      <c r="GH56" s="30"/>
      <c r="GI56" s="30"/>
      <c r="GJ56" s="30"/>
      <c r="GK56" s="1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2"/>
    </row>
    <row r="57" spans="1:502" ht="5.0999999999999996" customHeight="1" x14ac:dyDescent="0.25">
      <c r="A57" s="2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7"/>
      <c r="DG57" s="30"/>
      <c r="DH57" s="30"/>
      <c r="DI57" s="30"/>
      <c r="DJ57" s="30"/>
      <c r="DK57" s="30"/>
      <c r="DL57" s="30"/>
      <c r="DM57" s="30"/>
      <c r="DN57" s="30"/>
      <c r="DO57" s="30"/>
      <c r="DP57" s="30"/>
      <c r="DQ57" s="30"/>
      <c r="DR57" s="30"/>
      <c r="DS57" s="30"/>
      <c r="DT57" s="30"/>
      <c r="DU57" s="30"/>
      <c r="DV57" s="30"/>
      <c r="DW57" s="30"/>
      <c r="DX57" s="30"/>
      <c r="DY57" s="30"/>
      <c r="DZ57" s="30"/>
      <c r="EA57" s="30"/>
      <c r="EB57" s="30"/>
      <c r="EC57" s="30"/>
      <c r="ED57" s="30"/>
      <c r="EE57" s="30"/>
      <c r="EF57" s="30"/>
      <c r="EG57" s="30"/>
      <c r="EH57" s="30"/>
      <c r="EI57" s="30"/>
      <c r="EJ57" s="30"/>
      <c r="EK57" s="30"/>
      <c r="EL57" s="30"/>
      <c r="EM57" s="7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7"/>
      <c r="FE57" s="30"/>
      <c r="FF57" s="30"/>
      <c r="FG57" s="30"/>
      <c r="FH57" s="30"/>
      <c r="FI57" s="30"/>
      <c r="FJ57" s="30"/>
      <c r="FK57" s="30"/>
      <c r="FL57" s="30"/>
      <c r="FM57" s="30"/>
      <c r="FN57" s="30"/>
      <c r="FO57" s="30"/>
      <c r="FP57" s="30"/>
      <c r="FQ57" s="30"/>
      <c r="FR57" s="30"/>
      <c r="FS57" s="30"/>
      <c r="FT57" s="30"/>
      <c r="FU57" s="30"/>
      <c r="FV57" s="30"/>
      <c r="FW57" s="30"/>
      <c r="FX57" s="30"/>
      <c r="FY57" s="30"/>
      <c r="FZ57" s="30"/>
      <c r="GA57" s="30"/>
      <c r="GB57" s="30"/>
      <c r="GC57" s="30"/>
      <c r="GD57" s="30"/>
      <c r="GE57" s="30"/>
      <c r="GF57" s="30"/>
      <c r="GG57" s="30"/>
      <c r="GH57" s="30"/>
      <c r="GI57" s="30"/>
      <c r="GJ57" s="30"/>
      <c r="GK57" s="7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2"/>
    </row>
    <row r="58" spans="1:502" ht="5.0999999999999996" customHeight="1" x14ac:dyDescent="0.25">
      <c r="A58" s="2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1"/>
      <c r="DH58" s="30"/>
      <c r="DI58" s="30"/>
      <c r="DJ58" s="30"/>
      <c r="DK58" s="30"/>
      <c r="DL58" s="30"/>
      <c r="DM58" s="30"/>
      <c r="DN58" s="30"/>
      <c r="DO58" s="30"/>
      <c r="DP58" s="30"/>
      <c r="DQ58" s="30"/>
      <c r="DR58" s="30"/>
      <c r="DS58" s="30"/>
      <c r="DT58" s="30"/>
      <c r="DU58" s="30"/>
      <c r="DV58" s="30"/>
      <c r="DW58" s="30"/>
      <c r="DX58" s="30"/>
      <c r="DY58" s="30"/>
      <c r="DZ58" s="30"/>
      <c r="EA58" s="30"/>
      <c r="EB58" s="30"/>
      <c r="EC58" s="30"/>
      <c r="ED58" s="30"/>
      <c r="EE58" s="30"/>
      <c r="EF58" s="30"/>
      <c r="EG58" s="30"/>
      <c r="EH58" s="30"/>
      <c r="EI58" s="30"/>
      <c r="EJ58" s="30"/>
      <c r="EK58" s="30"/>
      <c r="EL58" s="1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1"/>
      <c r="FF58" s="30"/>
      <c r="FG58" s="30"/>
      <c r="FH58" s="30"/>
      <c r="FI58" s="30"/>
      <c r="FJ58" s="30"/>
      <c r="FK58" s="30"/>
      <c r="FL58" s="30"/>
      <c r="FM58" s="30"/>
      <c r="FN58" s="30"/>
      <c r="FO58" s="30"/>
      <c r="FP58" s="30"/>
      <c r="FQ58" s="30"/>
      <c r="FR58" s="30"/>
      <c r="FS58" s="30"/>
      <c r="FT58" s="30"/>
      <c r="FU58" s="30"/>
      <c r="FV58" s="30"/>
      <c r="FW58" s="30"/>
      <c r="FX58" s="30"/>
      <c r="FY58" s="30"/>
      <c r="FZ58" s="30"/>
      <c r="GA58" s="30"/>
      <c r="GB58" s="30"/>
      <c r="GC58" s="30"/>
      <c r="GD58" s="30"/>
      <c r="GE58" s="30"/>
      <c r="GF58" s="30"/>
      <c r="GG58" s="30"/>
      <c r="GH58" s="30"/>
      <c r="GI58" s="30"/>
      <c r="GJ58" s="1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2"/>
    </row>
    <row r="59" spans="1:502" ht="5.0999999999999996" customHeight="1" x14ac:dyDescent="0.25">
      <c r="A59" s="2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7"/>
      <c r="DH59" s="30"/>
      <c r="DI59" s="30"/>
      <c r="DJ59" s="30"/>
      <c r="DK59" s="30"/>
      <c r="DL59" s="30"/>
      <c r="DM59" s="30"/>
      <c r="DN59" s="30"/>
      <c r="DO59" s="30"/>
      <c r="DP59" s="30"/>
      <c r="DQ59" s="30"/>
      <c r="DR59" s="30"/>
      <c r="DS59" s="30"/>
      <c r="DT59" s="30"/>
      <c r="DU59" s="30"/>
      <c r="DV59" s="30"/>
      <c r="DW59" s="30"/>
      <c r="DX59" s="30"/>
      <c r="DY59" s="30"/>
      <c r="DZ59" s="30"/>
      <c r="EA59" s="30"/>
      <c r="EB59" s="30"/>
      <c r="EC59" s="30"/>
      <c r="ED59" s="30"/>
      <c r="EE59" s="30"/>
      <c r="EF59" s="30"/>
      <c r="EG59" s="30"/>
      <c r="EH59" s="30"/>
      <c r="EI59" s="30"/>
      <c r="EJ59" s="30"/>
      <c r="EK59" s="30"/>
      <c r="EL59" s="7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7"/>
      <c r="FF59" s="30"/>
      <c r="FG59" s="30"/>
      <c r="FH59" s="30"/>
      <c r="FI59" s="30"/>
      <c r="FJ59" s="30"/>
      <c r="FK59" s="30"/>
      <c r="FL59" s="30"/>
      <c r="FM59" s="30"/>
      <c r="FN59" s="30"/>
      <c r="FO59" s="30"/>
      <c r="FP59" s="30"/>
      <c r="FQ59" s="30"/>
      <c r="FR59" s="30"/>
      <c r="FS59" s="30"/>
      <c r="FT59" s="30"/>
      <c r="FU59" s="30"/>
      <c r="FV59" s="30"/>
      <c r="FW59" s="30"/>
      <c r="FX59" s="30"/>
      <c r="FY59" s="30"/>
      <c r="FZ59" s="30"/>
      <c r="GA59" s="30"/>
      <c r="GB59" s="30"/>
      <c r="GC59" s="30"/>
      <c r="GD59" s="30"/>
      <c r="GE59" s="30"/>
      <c r="GF59" s="30"/>
      <c r="GG59" s="30"/>
      <c r="GH59" s="30"/>
      <c r="GI59" s="30"/>
      <c r="GJ59" s="7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2"/>
    </row>
    <row r="60" spans="1:502" ht="5.0999999999999996" customHeight="1" x14ac:dyDescent="0.25">
      <c r="A60" s="2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1"/>
      <c r="DI60" s="30"/>
      <c r="DJ60" s="30"/>
      <c r="DK60" s="30"/>
      <c r="DL60" s="30"/>
      <c r="DM60" s="30"/>
      <c r="DN60" s="30"/>
      <c r="DO60" s="30"/>
      <c r="DP60" s="30"/>
      <c r="DQ60" s="30"/>
      <c r="DR60" s="30"/>
      <c r="DS60" s="30"/>
      <c r="DT60" s="30"/>
      <c r="DU60" s="30"/>
      <c r="DV60" s="30"/>
      <c r="DW60" s="30"/>
      <c r="DX60" s="30"/>
      <c r="DY60" s="30"/>
      <c r="DZ60" s="30"/>
      <c r="EA60" s="30"/>
      <c r="EB60" s="30"/>
      <c r="EC60" s="30"/>
      <c r="ED60" s="30"/>
      <c r="EE60" s="30"/>
      <c r="EF60" s="30"/>
      <c r="EG60" s="30"/>
      <c r="EH60" s="30"/>
      <c r="EI60" s="30"/>
      <c r="EJ60" s="30"/>
      <c r="EK60" s="1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1"/>
      <c r="FG60" s="30"/>
      <c r="FH60" s="30"/>
      <c r="FI60" s="30"/>
      <c r="FJ60" s="30"/>
      <c r="FK60" s="30"/>
      <c r="FL60" s="30"/>
      <c r="FM60" s="30"/>
      <c r="FN60" s="30"/>
      <c r="FO60" s="30"/>
      <c r="FP60" s="30"/>
      <c r="FQ60" s="30"/>
      <c r="FR60" s="30"/>
      <c r="FS60" s="30"/>
      <c r="FT60" s="30"/>
      <c r="FU60" s="30"/>
      <c r="FV60" s="30"/>
      <c r="FW60" s="30"/>
      <c r="FX60" s="30"/>
      <c r="FY60" s="30"/>
      <c r="FZ60" s="30"/>
      <c r="GA60" s="30"/>
      <c r="GB60" s="30"/>
      <c r="GC60" s="30"/>
      <c r="GD60" s="30"/>
      <c r="GE60" s="30"/>
      <c r="GF60" s="30"/>
      <c r="GG60" s="30"/>
      <c r="GH60" s="30"/>
      <c r="GI60" s="1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2"/>
    </row>
    <row r="61" spans="1:502" ht="5.0999999999999996" customHeight="1" x14ac:dyDescent="0.25">
      <c r="A61" s="2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7"/>
      <c r="DI61" s="30"/>
      <c r="DJ61" s="30"/>
      <c r="DK61" s="30"/>
      <c r="DL61" s="30"/>
      <c r="DM61" s="30"/>
      <c r="DN61" s="30"/>
      <c r="DO61" s="30"/>
      <c r="DP61" s="30"/>
      <c r="DQ61" s="30"/>
      <c r="DR61" s="30"/>
      <c r="DS61" s="30"/>
      <c r="DT61" s="30"/>
      <c r="DU61" s="30"/>
      <c r="DV61" s="30"/>
      <c r="DW61" s="30"/>
      <c r="DX61" s="30"/>
      <c r="DY61" s="30"/>
      <c r="DZ61" s="30"/>
      <c r="EA61" s="30"/>
      <c r="EB61" s="30"/>
      <c r="EC61" s="30"/>
      <c r="ED61" s="30"/>
      <c r="EE61" s="30"/>
      <c r="EF61" s="30"/>
      <c r="EG61" s="30"/>
      <c r="EH61" s="30"/>
      <c r="EI61" s="30"/>
      <c r="EJ61" s="30"/>
      <c r="EK61" s="7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7"/>
      <c r="FG61" s="30"/>
      <c r="FH61" s="30"/>
      <c r="FI61" s="30"/>
      <c r="FJ61" s="30"/>
      <c r="FK61" s="30"/>
      <c r="FL61" s="30"/>
      <c r="FM61" s="30"/>
      <c r="FN61" s="30"/>
      <c r="FO61" s="30"/>
      <c r="FP61" s="30"/>
      <c r="FQ61" s="30"/>
      <c r="FR61" s="30"/>
      <c r="FS61" s="30"/>
      <c r="FT61" s="30"/>
      <c r="FU61" s="30"/>
      <c r="FV61" s="30"/>
      <c r="FW61" s="30"/>
      <c r="FX61" s="30"/>
      <c r="FY61" s="30"/>
      <c r="FZ61" s="30"/>
      <c r="GA61" s="30"/>
      <c r="GB61" s="30"/>
      <c r="GC61" s="30"/>
      <c r="GD61" s="30"/>
      <c r="GE61" s="30"/>
      <c r="GF61" s="30"/>
      <c r="GG61" s="30"/>
      <c r="GH61" s="30"/>
      <c r="GI61" s="7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2"/>
    </row>
    <row r="62" spans="1:502" ht="5.0999999999999996" customHeight="1" x14ac:dyDescent="0.25">
      <c r="A62" s="2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1"/>
      <c r="DJ62" s="30"/>
      <c r="DK62" s="30"/>
      <c r="DL62" s="30"/>
      <c r="DM62" s="30"/>
      <c r="DN62" s="30"/>
      <c r="DO62" s="30"/>
      <c r="DP62" s="30"/>
      <c r="DQ62" s="30"/>
      <c r="DR62" s="30"/>
      <c r="DS62" s="30"/>
      <c r="DT62" s="30"/>
      <c r="DU62" s="30"/>
      <c r="DV62" s="30"/>
      <c r="DW62" s="30"/>
      <c r="DX62" s="30"/>
      <c r="DY62" s="30"/>
      <c r="DZ62" s="30"/>
      <c r="EA62" s="30"/>
      <c r="EB62" s="30"/>
      <c r="EC62" s="30"/>
      <c r="ED62" s="30"/>
      <c r="EE62" s="30"/>
      <c r="EF62" s="30"/>
      <c r="EG62" s="30"/>
      <c r="EH62" s="30"/>
      <c r="EI62" s="30"/>
      <c r="EJ62" s="1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1"/>
      <c r="FH62" s="30"/>
      <c r="FI62" s="30"/>
      <c r="FJ62" s="30"/>
      <c r="FK62" s="30"/>
      <c r="FL62" s="30"/>
      <c r="FM62" s="30"/>
      <c r="FN62" s="30"/>
      <c r="FO62" s="30"/>
      <c r="FP62" s="30"/>
      <c r="FQ62" s="30"/>
      <c r="FR62" s="30"/>
      <c r="FS62" s="30"/>
      <c r="FT62" s="30"/>
      <c r="FU62" s="30"/>
      <c r="FV62" s="30"/>
      <c r="FW62" s="30"/>
      <c r="FX62" s="30"/>
      <c r="FY62" s="30"/>
      <c r="FZ62" s="30"/>
      <c r="GA62" s="30"/>
      <c r="GB62" s="30"/>
      <c r="GC62" s="30"/>
      <c r="GD62" s="30"/>
      <c r="GE62" s="30"/>
      <c r="GF62" s="30"/>
      <c r="GG62" s="30"/>
      <c r="GH62" s="1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2"/>
    </row>
    <row r="63" spans="1:502" ht="5.0999999999999996" customHeight="1" x14ac:dyDescent="0.25">
      <c r="A63" s="2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1"/>
      <c r="DK63" s="30"/>
      <c r="DL63" s="30"/>
      <c r="DM63" s="30"/>
      <c r="DN63" s="30"/>
      <c r="DO63" s="30"/>
      <c r="DP63" s="30"/>
      <c r="DQ63" s="30"/>
      <c r="DR63" s="30"/>
      <c r="DS63" s="30"/>
      <c r="DT63" s="30"/>
      <c r="DU63" s="30"/>
      <c r="DV63" s="30"/>
      <c r="DW63" s="30"/>
      <c r="DX63" s="30"/>
      <c r="DY63" s="30"/>
      <c r="DZ63" s="30"/>
      <c r="EA63" s="30"/>
      <c r="EB63" s="30"/>
      <c r="EC63" s="30"/>
      <c r="ED63" s="30"/>
      <c r="EE63" s="30"/>
      <c r="EF63" s="30"/>
      <c r="EG63" s="30"/>
      <c r="EH63" s="30"/>
      <c r="EI63" s="1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1"/>
      <c r="FI63" s="30"/>
      <c r="FJ63" s="30"/>
      <c r="FK63" s="30"/>
      <c r="FL63" s="30"/>
      <c r="FM63" s="30"/>
      <c r="FN63" s="30"/>
      <c r="FO63" s="30"/>
      <c r="FP63" s="30"/>
      <c r="FQ63" s="30"/>
      <c r="FR63" s="30"/>
      <c r="FS63" s="30"/>
      <c r="FT63" s="30"/>
      <c r="FU63" s="30"/>
      <c r="FV63" s="30"/>
      <c r="FW63" s="30"/>
      <c r="FX63" s="30"/>
      <c r="FY63" s="30"/>
      <c r="FZ63" s="30"/>
      <c r="GA63" s="30"/>
      <c r="GB63" s="30"/>
      <c r="GC63" s="30"/>
      <c r="GD63" s="30"/>
      <c r="GE63" s="30"/>
      <c r="GF63" s="30"/>
      <c r="GG63" s="1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2"/>
    </row>
    <row r="64" spans="1:502" ht="5.0999999999999996" customHeight="1" x14ac:dyDescent="0.25">
      <c r="A64" s="2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1"/>
      <c r="DL64" s="30"/>
      <c r="DM64" s="30"/>
      <c r="DN64" s="30"/>
      <c r="DO64" s="30"/>
      <c r="DP64" s="30"/>
      <c r="DQ64" s="30"/>
      <c r="DR64" s="30"/>
      <c r="DS64" s="30"/>
      <c r="DT64" s="30"/>
      <c r="DU64" s="30"/>
      <c r="DV64" s="30"/>
      <c r="DW64" s="30"/>
      <c r="DX64" s="30"/>
      <c r="DY64" s="30"/>
      <c r="DZ64" s="30"/>
      <c r="EA64" s="30"/>
      <c r="EB64" s="30"/>
      <c r="EC64" s="30"/>
      <c r="ED64" s="30"/>
      <c r="EE64" s="30"/>
      <c r="EF64" s="30"/>
      <c r="EG64" s="30"/>
      <c r="EH64" s="1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1"/>
      <c r="FJ64" s="30"/>
      <c r="FK64" s="30"/>
      <c r="FL64" s="30"/>
      <c r="FM64" s="30"/>
      <c r="FN64" s="30"/>
      <c r="FO64" s="30"/>
      <c r="FP64" s="30"/>
      <c r="FQ64" s="30"/>
      <c r="FR64" s="30"/>
      <c r="FS64" s="30"/>
      <c r="FT64" s="30"/>
      <c r="FU64" s="30"/>
      <c r="FV64" s="30"/>
      <c r="FW64" s="30"/>
      <c r="FX64" s="30"/>
      <c r="FY64" s="30"/>
      <c r="FZ64" s="30"/>
      <c r="GA64" s="30"/>
      <c r="GB64" s="30"/>
      <c r="GC64" s="30"/>
      <c r="GD64" s="30"/>
      <c r="GE64" s="30"/>
      <c r="GF64" s="1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2"/>
    </row>
    <row r="65" spans="1:502" ht="5.0999999999999996" customHeight="1" x14ac:dyDescent="0.25">
      <c r="A65" s="2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1"/>
      <c r="DM65" s="30"/>
      <c r="DN65" s="30"/>
      <c r="DO65" s="30"/>
      <c r="DP65" s="30"/>
      <c r="DQ65" s="30"/>
      <c r="DR65" s="30"/>
      <c r="DS65" s="30"/>
      <c r="DT65" s="30"/>
      <c r="DU65" s="30"/>
      <c r="DV65" s="30"/>
      <c r="DW65" s="30"/>
      <c r="DX65" s="30"/>
      <c r="DY65" s="30"/>
      <c r="DZ65" s="30"/>
      <c r="EA65" s="30"/>
      <c r="EB65" s="30"/>
      <c r="EC65" s="30"/>
      <c r="ED65" s="30"/>
      <c r="EE65" s="30"/>
      <c r="EF65" s="30"/>
      <c r="EG65" s="1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1"/>
      <c r="FK65" s="30"/>
      <c r="FL65" s="30"/>
      <c r="FM65" s="30"/>
      <c r="FN65" s="30"/>
      <c r="FO65" s="30"/>
      <c r="FP65" s="30"/>
      <c r="FQ65" s="30"/>
      <c r="FR65" s="30"/>
      <c r="FS65" s="30"/>
      <c r="FT65" s="30"/>
      <c r="FU65" s="30"/>
      <c r="FV65" s="30"/>
      <c r="FW65" s="30"/>
      <c r="FX65" s="30"/>
      <c r="FY65" s="30"/>
      <c r="FZ65" s="30"/>
      <c r="GA65" s="30"/>
      <c r="GB65" s="30"/>
      <c r="GC65" s="30"/>
      <c r="GD65" s="30"/>
      <c r="GE65" s="1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2"/>
    </row>
    <row r="66" spans="1:502" ht="5.0999999999999996" customHeight="1" x14ac:dyDescent="0.25">
      <c r="A66" s="2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3"/>
      <c r="DN66" s="11"/>
      <c r="DO66" s="30"/>
      <c r="DP66" s="30"/>
      <c r="DQ66" s="30"/>
      <c r="DR66" s="30"/>
      <c r="DS66" s="30"/>
      <c r="DT66" s="30"/>
      <c r="DU66" s="30"/>
      <c r="DV66" s="30"/>
      <c r="DW66" s="30"/>
      <c r="DX66" s="30"/>
      <c r="DY66" s="30"/>
      <c r="DZ66" s="30"/>
      <c r="EA66" s="30"/>
      <c r="EB66" s="30"/>
      <c r="EC66" s="30"/>
      <c r="ED66" s="30"/>
      <c r="EE66" s="11"/>
      <c r="EF66" s="3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3"/>
      <c r="FL66" s="11"/>
      <c r="FM66" s="30"/>
      <c r="FN66" s="30"/>
      <c r="FO66" s="30"/>
      <c r="FP66" s="30"/>
      <c r="FQ66" s="30"/>
      <c r="FR66" s="30"/>
      <c r="FS66" s="30"/>
      <c r="FT66" s="30"/>
      <c r="FU66" s="30"/>
      <c r="FV66" s="30"/>
      <c r="FW66" s="30"/>
      <c r="FX66" s="30"/>
      <c r="FY66" s="30"/>
      <c r="FZ66" s="30"/>
      <c r="GA66" s="30"/>
      <c r="GB66" s="30"/>
      <c r="GC66" s="11"/>
      <c r="GD66" s="3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2"/>
    </row>
    <row r="67" spans="1:502" ht="5.0999999999999996" customHeight="1" x14ac:dyDescent="0.25">
      <c r="A67" s="2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3"/>
      <c r="DP67" s="11"/>
      <c r="DQ67" s="30"/>
      <c r="DR67" s="30"/>
      <c r="DS67" s="30"/>
      <c r="DT67" s="30"/>
      <c r="DU67" s="30"/>
      <c r="DV67" s="30"/>
      <c r="DW67" s="30"/>
      <c r="DX67" s="30"/>
      <c r="DY67" s="30"/>
      <c r="DZ67" s="30"/>
      <c r="EA67" s="30"/>
      <c r="EB67" s="30"/>
      <c r="EC67" s="11"/>
      <c r="ED67" s="3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3"/>
      <c r="FN67" s="11"/>
      <c r="FO67" s="30"/>
      <c r="FP67" s="30"/>
      <c r="FQ67" s="30"/>
      <c r="FR67" s="30"/>
      <c r="FS67" s="30"/>
      <c r="FT67" s="30"/>
      <c r="FU67" s="30"/>
      <c r="FV67" s="30"/>
      <c r="FW67" s="30"/>
      <c r="FX67" s="30"/>
      <c r="FY67" s="30"/>
      <c r="FZ67" s="30"/>
      <c r="GA67" s="11"/>
      <c r="GB67" s="3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2"/>
    </row>
    <row r="68" spans="1:502" ht="5.0999999999999996" customHeight="1" x14ac:dyDescent="0.25">
      <c r="A68" s="2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3"/>
      <c r="DR68" s="11"/>
      <c r="DS68" s="30"/>
      <c r="DT68" s="30"/>
      <c r="DU68" s="30"/>
      <c r="DV68" s="30"/>
      <c r="DW68" s="30"/>
      <c r="DX68" s="30"/>
      <c r="DY68" s="30"/>
      <c r="DZ68" s="30"/>
      <c r="EA68" s="11"/>
      <c r="EB68" s="3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3"/>
      <c r="FP68" s="11"/>
      <c r="FQ68" s="30"/>
      <c r="FR68" s="30"/>
      <c r="FS68" s="30"/>
      <c r="FT68" s="30"/>
      <c r="FU68" s="30"/>
      <c r="FV68" s="30"/>
      <c r="FW68" s="30"/>
      <c r="FX68" s="30"/>
      <c r="FY68" s="11"/>
      <c r="FZ68" s="3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2"/>
    </row>
    <row r="69" spans="1:502" ht="5.0999999999999996" customHeight="1" x14ac:dyDescent="0.25">
      <c r="A69" s="2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3"/>
      <c r="DT69" s="3"/>
      <c r="DU69" s="3"/>
      <c r="DV69" s="3"/>
      <c r="DW69" s="3"/>
      <c r="DX69" s="3"/>
      <c r="DY69" s="3"/>
      <c r="DZ69" s="3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3"/>
      <c r="FR69" s="3"/>
      <c r="FS69" s="3"/>
      <c r="FT69" s="3"/>
      <c r="FU69" s="3"/>
      <c r="FV69" s="3"/>
      <c r="FW69" s="3"/>
      <c r="FX69" s="3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2"/>
    </row>
    <row r="70" spans="1:502" ht="5.0999999999999996" customHeight="1" x14ac:dyDescent="0.25">
      <c r="A70" s="2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2"/>
    </row>
    <row r="71" spans="1:502" ht="5.0999999999999996" customHeight="1" x14ac:dyDescent="0.25">
      <c r="A71" s="2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2"/>
    </row>
    <row r="72" spans="1:502" ht="5.0999999999999996" customHeight="1" x14ac:dyDescent="0.25">
      <c r="A72" s="2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2"/>
    </row>
    <row r="73" spans="1:502" ht="5.0999999999999996" customHeight="1" x14ac:dyDescent="0.25">
      <c r="A73" s="2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2"/>
    </row>
    <row r="74" spans="1:502" ht="5.0999999999999996" customHeight="1" x14ac:dyDescent="0.25">
      <c r="A74" s="2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2"/>
    </row>
    <row r="75" spans="1:502" ht="5.0999999999999996" customHeight="1" x14ac:dyDescent="0.25">
      <c r="A75" s="2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2"/>
    </row>
    <row r="76" spans="1:502" ht="5.0999999999999996" customHeight="1" x14ac:dyDescent="0.25">
      <c r="A76" s="2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2"/>
    </row>
    <row r="77" spans="1:502" ht="5.0999999999999996" customHeight="1" x14ac:dyDescent="0.25">
      <c r="A77" s="2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2"/>
    </row>
    <row r="78" spans="1:502" ht="5.0999999999999996" customHeight="1" x14ac:dyDescent="0.25">
      <c r="A78" s="2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2"/>
    </row>
    <row r="79" spans="1:502" ht="5.0999999999999996" customHeight="1" x14ac:dyDescent="0.25">
      <c r="A79" s="2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2"/>
    </row>
    <row r="80" spans="1:502" ht="5.0999999999999996" customHeight="1" x14ac:dyDescent="0.25">
      <c r="A80" s="2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2"/>
    </row>
    <row r="81" spans="1:502" ht="5.0999999999999996" customHeight="1" x14ac:dyDescent="0.25">
      <c r="A81" s="2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2"/>
    </row>
    <row r="82" spans="1:502" ht="5.0999999999999996" customHeight="1" x14ac:dyDescent="0.25">
      <c r="A82" s="2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2"/>
    </row>
    <row r="83" spans="1:502" ht="5.0999999999999996" customHeight="1" x14ac:dyDescent="0.25">
      <c r="A83" s="2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2"/>
    </row>
    <row r="84" spans="1:502" ht="5.0999999999999996" customHeight="1" x14ac:dyDescent="0.25">
      <c r="A84" s="2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3"/>
      <c r="DT84" s="3"/>
      <c r="DU84" s="3"/>
      <c r="DV84" s="3"/>
      <c r="DW84" s="3"/>
      <c r="DX84" s="3"/>
      <c r="DY84" s="3"/>
      <c r="DZ84" s="3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3"/>
      <c r="FR84" s="3"/>
      <c r="FS84" s="3"/>
      <c r="FT84" s="3"/>
      <c r="FU84" s="3"/>
      <c r="FV84" s="3"/>
      <c r="FW84" s="3"/>
      <c r="FX84" s="3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2"/>
    </row>
    <row r="85" spans="1:502" ht="5.0999999999999996" customHeight="1" x14ac:dyDescent="0.25">
      <c r="A85" s="2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3"/>
      <c r="DR85" s="11"/>
      <c r="DS85" s="30"/>
      <c r="DT85" s="30"/>
      <c r="DU85" s="30"/>
      <c r="DV85" s="30"/>
      <c r="DW85" s="30"/>
      <c r="DX85" s="30"/>
      <c r="DY85" s="30"/>
      <c r="DZ85" s="30"/>
      <c r="EA85" s="11"/>
      <c r="EB85" s="3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3"/>
      <c r="FP85" s="11"/>
      <c r="FQ85" s="30"/>
      <c r="FR85" s="30"/>
      <c r="FS85" s="30"/>
      <c r="FT85" s="30"/>
      <c r="FU85" s="30"/>
      <c r="FV85" s="30"/>
      <c r="FW85" s="30"/>
      <c r="FX85" s="30"/>
      <c r="FY85" s="11"/>
      <c r="FZ85" s="3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2"/>
    </row>
    <row r="86" spans="1:502" ht="5.0999999999999996" customHeight="1" x14ac:dyDescent="0.25">
      <c r="A86" s="2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3"/>
      <c r="DP86" s="11"/>
      <c r="DQ86" s="30"/>
      <c r="DR86" s="30"/>
      <c r="DS86" s="30"/>
      <c r="DT86" s="30"/>
      <c r="DU86" s="30"/>
      <c r="DV86" s="30"/>
      <c r="DW86" s="30"/>
      <c r="DX86" s="30"/>
      <c r="DY86" s="30"/>
      <c r="DZ86" s="30"/>
      <c r="EA86" s="30"/>
      <c r="EB86" s="30"/>
      <c r="EC86" s="11"/>
      <c r="ED86" s="3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3"/>
      <c r="FN86" s="11"/>
      <c r="FO86" s="30"/>
      <c r="FP86" s="30"/>
      <c r="FQ86" s="30"/>
      <c r="FR86" s="30"/>
      <c r="FS86" s="30"/>
      <c r="FT86" s="30"/>
      <c r="FU86" s="30"/>
      <c r="FV86" s="30"/>
      <c r="FW86" s="30"/>
      <c r="FX86" s="30"/>
      <c r="FY86" s="30"/>
      <c r="FZ86" s="30"/>
      <c r="GA86" s="11"/>
      <c r="GB86" s="3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2"/>
    </row>
    <row r="87" spans="1:502" ht="5.0999999999999996" customHeight="1" x14ac:dyDescent="0.25">
      <c r="A87" s="2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3"/>
      <c r="DN87" s="11"/>
      <c r="DO87" s="30"/>
      <c r="DP87" s="30"/>
      <c r="DQ87" s="30"/>
      <c r="DR87" s="30"/>
      <c r="DS87" s="30"/>
      <c r="DT87" s="30"/>
      <c r="DU87" s="30"/>
      <c r="DV87" s="30"/>
      <c r="DW87" s="30"/>
      <c r="DX87" s="30"/>
      <c r="DY87" s="30"/>
      <c r="DZ87" s="30"/>
      <c r="EA87" s="30"/>
      <c r="EB87" s="30"/>
      <c r="EC87" s="30"/>
      <c r="ED87" s="30"/>
      <c r="EE87" s="11"/>
      <c r="EF87" s="3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3"/>
      <c r="FL87" s="11"/>
      <c r="FM87" s="30"/>
      <c r="FN87" s="30"/>
      <c r="FO87" s="30"/>
      <c r="FP87" s="30"/>
      <c r="FQ87" s="30"/>
      <c r="FR87" s="30"/>
      <c r="FS87" s="30"/>
      <c r="FT87" s="30"/>
      <c r="FU87" s="30"/>
      <c r="FV87" s="30"/>
      <c r="FW87" s="30"/>
      <c r="FX87" s="30"/>
      <c r="FY87" s="30"/>
      <c r="FZ87" s="30"/>
      <c r="GA87" s="30"/>
      <c r="GB87" s="30"/>
      <c r="GC87" s="11"/>
      <c r="GD87" s="3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2"/>
    </row>
    <row r="88" spans="1:502" ht="5.0999999999999996" customHeight="1" x14ac:dyDescent="0.25">
      <c r="A88" s="2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1"/>
      <c r="DM88" s="30"/>
      <c r="DN88" s="30"/>
      <c r="DO88" s="30"/>
      <c r="DP88" s="30"/>
      <c r="DQ88" s="30"/>
      <c r="DR88" s="30"/>
      <c r="DS88" s="30"/>
      <c r="DT88" s="30"/>
      <c r="DU88" s="30"/>
      <c r="DV88" s="30"/>
      <c r="DW88" s="30"/>
      <c r="DX88" s="30"/>
      <c r="DY88" s="30"/>
      <c r="DZ88" s="30"/>
      <c r="EA88" s="30"/>
      <c r="EB88" s="30"/>
      <c r="EC88" s="30"/>
      <c r="ED88" s="30"/>
      <c r="EE88" s="30"/>
      <c r="EF88" s="30"/>
      <c r="EG88" s="1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1"/>
      <c r="FK88" s="30"/>
      <c r="FL88" s="30"/>
      <c r="FM88" s="30"/>
      <c r="FN88" s="30"/>
      <c r="FO88" s="30"/>
      <c r="FP88" s="30"/>
      <c r="FQ88" s="30"/>
      <c r="FR88" s="30"/>
      <c r="FS88" s="30"/>
      <c r="FT88" s="30"/>
      <c r="FU88" s="30"/>
      <c r="FV88" s="30"/>
      <c r="FW88" s="30"/>
      <c r="FX88" s="30"/>
      <c r="FY88" s="30"/>
      <c r="FZ88" s="30"/>
      <c r="GA88" s="30"/>
      <c r="GB88" s="30"/>
      <c r="GC88" s="30"/>
      <c r="GD88" s="30"/>
      <c r="GE88" s="1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2"/>
    </row>
    <row r="89" spans="1:502" ht="5.0999999999999996" customHeight="1" x14ac:dyDescent="0.25">
      <c r="A89" s="2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1"/>
      <c r="DL89" s="30"/>
      <c r="DM89" s="30"/>
      <c r="DN89" s="30"/>
      <c r="DO89" s="30"/>
      <c r="DP89" s="30"/>
      <c r="DQ89" s="30"/>
      <c r="DR89" s="30"/>
      <c r="DS89" s="30"/>
      <c r="DT89" s="30"/>
      <c r="DU89" s="30"/>
      <c r="DV89" s="30"/>
      <c r="DW89" s="30"/>
      <c r="DX89" s="30"/>
      <c r="DY89" s="30"/>
      <c r="DZ89" s="30"/>
      <c r="EA89" s="30"/>
      <c r="EB89" s="30"/>
      <c r="EC89" s="30"/>
      <c r="ED89" s="30"/>
      <c r="EE89" s="30"/>
      <c r="EF89" s="30"/>
      <c r="EG89" s="30"/>
      <c r="EH89" s="1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1"/>
      <c r="FJ89" s="30"/>
      <c r="FK89" s="30"/>
      <c r="FL89" s="30"/>
      <c r="FM89" s="30"/>
      <c r="FN89" s="30"/>
      <c r="FO89" s="30"/>
      <c r="FP89" s="30"/>
      <c r="FQ89" s="30"/>
      <c r="FR89" s="30"/>
      <c r="FS89" s="30"/>
      <c r="FT89" s="30"/>
      <c r="FU89" s="30"/>
      <c r="FV89" s="30"/>
      <c r="FW89" s="30"/>
      <c r="FX89" s="30"/>
      <c r="FY89" s="30"/>
      <c r="FZ89" s="30"/>
      <c r="GA89" s="30"/>
      <c r="GB89" s="30"/>
      <c r="GC89" s="30"/>
      <c r="GD89" s="30"/>
      <c r="GE89" s="30"/>
      <c r="GF89" s="1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2"/>
    </row>
    <row r="90" spans="1:502" ht="5.0999999999999996" customHeight="1" x14ac:dyDescent="0.25">
      <c r="A90" s="2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1"/>
      <c r="DK90" s="30"/>
      <c r="DL90" s="30"/>
      <c r="DM90" s="30"/>
      <c r="DN90" s="30"/>
      <c r="DO90" s="30"/>
      <c r="DP90" s="30"/>
      <c r="DQ90" s="30"/>
      <c r="DR90" s="30"/>
      <c r="DS90" s="30"/>
      <c r="DT90" s="30"/>
      <c r="DU90" s="30"/>
      <c r="DV90" s="30"/>
      <c r="DW90" s="30"/>
      <c r="DX90" s="30"/>
      <c r="DY90" s="30"/>
      <c r="DZ90" s="30"/>
      <c r="EA90" s="30"/>
      <c r="EB90" s="30"/>
      <c r="EC90" s="30"/>
      <c r="ED90" s="30"/>
      <c r="EE90" s="30"/>
      <c r="EF90" s="30"/>
      <c r="EG90" s="30"/>
      <c r="EH90" s="30"/>
      <c r="EI90" s="1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1"/>
      <c r="FI90" s="30"/>
      <c r="FJ90" s="30"/>
      <c r="FK90" s="30"/>
      <c r="FL90" s="30"/>
      <c r="FM90" s="30"/>
      <c r="FN90" s="30"/>
      <c r="FO90" s="30"/>
      <c r="FP90" s="30"/>
      <c r="FQ90" s="30"/>
      <c r="FR90" s="30"/>
      <c r="FS90" s="30"/>
      <c r="FT90" s="30"/>
      <c r="FU90" s="30"/>
      <c r="FV90" s="30"/>
      <c r="FW90" s="30"/>
      <c r="FX90" s="30"/>
      <c r="FY90" s="30"/>
      <c r="FZ90" s="30"/>
      <c r="GA90" s="30"/>
      <c r="GB90" s="30"/>
      <c r="GC90" s="30"/>
      <c r="GD90" s="30"/>
      <c r="GE90" s="30"/>
      <c r="GF90" s="30"/>
      <c r="GG90" s="1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2"/>
    </row>
    <row r="91" spans="1:502" ht="5.0999999999999996" customHeight="1" x14ac:dyDescent="0.25">
      <c r="A91" s="2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1"/>
      <c r="DJ91" s="30"/>
      <c r="DK91" s="30"/>
      <c r="DL91" s="30"/>
      <c r="DM91" s="30"/>
      <c r="DN91" s="30"/>
      <c r="DO91" s="30"/>
      <c r="DP91" s="30"/>
      <c r="DQ91" s="30"/>
      <c r="DR91" s="30"/>
      <c r="DS91" s="30"/>
      <c r="DT91" s="30"/>
      <c r="DU91" s="30"/>
      <c r="DV91" s="30"/>
      <c r="DW91" s="30"/>
      <c r="DX91" s="30"/>
      <c r="DY91" s="30"/>
      <c r="DZ91" s="30"/>
      <c r="EA91" s="30"/>
      <c r="EB91" s="30"/>
      <c r="EC91" s="30"/>
      <c r="ED91" s="30"/>
      <c r="EE91" s="30"/>
      <c r="EF91" s="30"/>
      <c r="EG91" s="30"/>
      <c r="EH91" s="30"/>
      <c r="EI91" s="30"/>
      <c r="EJ91" s="1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1"/>
      <c r="FH91" s="30"/>
      <c r="FI91" s="30"/>
      <c r="FJ91" s="30"/>
      <c r="FK91" s="30"/>
      <c r="FL91" s="30"/>
      <c r="FM91" s="30"/>
      <c r="FN91" s="30"/>
      <c r="FO91" s="30"/>
      <c r="FP91" s="30"/>
      <c r="FQ91" s="30"/>
      <c r="FR91" s="30"/>
      <c r="FS91" s="30"/>
      <c r="FT91" s="30"/>
      <c r="FU91" s="30"/>
      <c r="FV91" s="30"/>
      <c r="FW91" s="30"/>
      <c r="FX91" s="30"/>
      <c r="FY91" s="30"/>
      <c r="FZ91" s="30"/>
      <c r="GA91" s="30"/>
      <c r="GB91" s="30"/>
      <c r="GC91" s="30"/>
      <c r="GD91" s="30"/>
      <c r="GE91" s="30"/>
      <c r="GF91" s="30"/>
      <c r="GG91" s="30"/>
      <c r="GH91" s="1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2"/>
    </row>
    <row r="92" spans="1:502" ht="5.0999999999999996" customHeight="1" x14ac:dyDescent="0.25">
      <c r="A92" s="2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7"/>
      <c r="DI92" s="30"/>
      <c r="DJ92" s="30"/>
      <c r="DK92" s="30"/>
      <c r="DL92" s="30"/>
      <c r="DM92" s="30"/>
      <c r="DN92" s="30"/>
      <c r="DO92" s="30"/>
      <c r="DP92" s="30"/>
      <c r="DQ92" s="30"/>
      <c r="DR92" s="30"/>
      <c r="DS92" s="30"/>
      <c r="DT92" s="30"/>
      <c r="DU92" s="30"/>
      <c r="DV92" s="30"/>
      <c r="DW92" s="30"/>
      <c r="DX92" s="30"/>
      <c r="DY92" s="30"/>
      <c r="DZ92" s="30"/>
      <c r="EA92" s="30"/>
      <c r="EB92" s="30"/>
      <c r="EC92" s="30"/>
      <c r="ED92" s="30"/>
      <c r="EE92" s="30"/>
      <c r="EF92" s="30"/>
      <c r="EG92" s="30"/>
      <c r="EH92" s="30"/>
      <c r="EI92" s="30"/>
      <c r="EJ92" s="30"/>
      <c r="EK92" s="7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7"/>
      <c r="FG92" s="30"/>
      <c r="FH92" s="30"/>
      <c r="FI92" s="30"/>
      <c r="FJ92" s="30"/>
      <c r="FK92" s="30"/>
      <c r="FL92" s="30"/>
      <c r="FM92" s="30"/>
      <c r="FN92" s="30"/>
      <c r="FO92" s="30"/>
      <c r="FP92" s="30"/>
      <c r="FQ92" s="30"/>
      <c r="FR92" s="30"/>
      <c r="FS92" s="30"/>
      <c r="FT92" s="30"/>
      <c r="FU92" s="30"/>
      <c r="FV92" s="30"/>
      <c r="FW92" s="30"/>
      <c r="FX92" s="30"/>
      <c r="FY92" s="30"/>
      <c r="FZ92" s="30"/>
      <c r="GA92" s="30"/>
      <c r="GB92" s="30"/>
      <c r="GC92" s="30"/>
      <c r="GD92" s="30"/>
      <c r="GE92" s="30"/>
      <c r="GF92" s="30"/>
      <c r="GG92" s="30"/>
      <c r="GH92" s="30"/>
      <c r="GI92" s="7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2"/>
    </row>
    <row r="93" spans="1:502" ht="5.0999999999999996" customHeight="1" x14ac:dyDescent="0.25">
      <c r="A93" s="2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1"/>
      <c r="DI93" s="30"/>
      <c r="DJ93" s="30"/>
      <c r="DK93" s="30"/>
      <c r="DL93" s="30"/>
      <c r="DM93" s="30"/>
      <c r="DN93" s="30"/>
      <c r="DO93" s="30"/>
      <c r="DP93" s="30"/>
      <c r="DQ93" s="30"/>
      <c r="DR93" s="30"/>
      <c r="DS93" s="30"/>
      <c r="DT93" s="30"/>
      <c r="DU93" s="30"/>
      <c r="DV93" s="30"/>
      <c r="DW93" s="30"/>
      <c r="DX93" s="30"/>
      <c r="DY93" s="30"/>
      <c r="DZ93" s="30"/>
      <c r="EA93" s="30"/>
      <c r="EB93" s="30"/>
      <c r="EC93" s="30"/>
      <c r="ED93" s="30"/>
      <c r="EE93" s="30"/>
      <c r="EF93" s="30"/>
      <c r="EG93" s="30"/>
      <c r="EH93" s="30"/>
      <c r="EI93" s="30"/>
      <c r="EJ93" s="30"/>
      <c r="EK93" s="1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1"/>
      <c r="FG93" s="30"/>
      <c r="FH93" s="30"/>
      <c r="FI93" s="30"/>
      <c r="FJ93" s="30"/>
      <c r="FK93" s="30"/>
      <c r="FL93" s="30"/>
      <c r="FM93" s="30"/>
      <c r="FN93" s="30"/>
      <c r="FO93" s="30"/>
      <c r="FP93" s="30"/>
      <c r="FQ93" s="30"/>
      <c r="FR93" s="30"/>
      <c r="FS93" s="30"/>
      <c r="FT93" s="30"/>
      <c r="FU93" s="30"/>
      <c r="FV93" s="30"/>
      <c r="FW93" s="30"/>
      <c r="FX93" s="30"/>
      <c r="FY93" s="30"/>
      <c r="FZ93" s="30"/>
      <c r="GA93" s="30"/>
      <c r="GB93" s="30"/>
      <c r="GC93" s="30"/>
      <c r="GD93" s="30"/>
      <c r="GE93" s="30"/>
      <c r="GF93" s="30"/>
      <c r="GG93" s="30"/>
      <c r="GH93" s="30"/>
      <c r="GI93" s="1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2"/>
    </row>
    <row r="94" spans="1:502" ht="5.0999999999999996" customHeight="1" x14ac:dyDescent="0.25">
      <c r="A94" s="2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7"/>
      <c r="DH94" s="30"/>
      <c r="DI94" s="30"/>
      <c r="DJ94" s="30"/>
      <c r="DK94" s="30"/>
      <c r="DL94" s="30"/>
      <c r="DM94" s="30"/>
      <c r="DN94" s="30"/>
      <c r="DO94" s="30"/>
      <c r="DP94" s="30"/>
      <c r="DQ94" s="30"/>
      <c r="DR94" s="30"/>
      <c r="DS94" s="30"/>
      <c r="DT94" s="30"/>
      <c r="DU94" s="30"/>
      <c r="DV94" s="30"/>
      <c r="DW94" s="30"/>
      <c r="DX94" s="30"/>
      <c r="DY94" s="30"/>
      <c r="DZ94" s="30"/>
      <c r="EA94" s="30"/>
      <c r="EB94" s="30"/>
      <c r="EC94" s="30"/>
      <c r="ED94" s="30"/>
      <c r="EE94" s="30"/>
      <c r="EF94" s="30"/>
      <c r="EG94" s="30"/>
      <c r="EH94" s="30"/>
      <c r="EI94" s="30"/>
      <c r="EJ94" s="30"/>
      <c r="EK94" s="30"/>
      <c r="EL94" s="7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7"/>
      <c r="FF94" s="30"/>
      <c r="FG94" s="30"/>
      <c r="FH94" s="30"/>
      <c r="FI94" s="30"/>
      <c r="FJ94" s="30"/>
      <c r="FK94" s="30"/>
      <c r="FL94" s="30"/>
      <c r="FM94" s="30"/>
      <c r="FN94" s="30"/>
      <c r="FO94" s="30"/>
      <c r="FP94" s="30"/>
      <c r="FQ94" s="30"/>
      <c r="FR94" s="30"/>
      <c r="FS94" s="30"/>
      <c r="FT94" s="30"/>
      <c r="FU94" s="30"/>
      <c r="FV94" s="30"/>
      <c r="FW94" s="30"/>
      <c r="FX94" s="30"/>
      <c r="FY94" s="30"/>
      <c r="FZ94" s="30"/>
      <c r="GA94" s="30"/>
      <c r="GB94" s="30"/>
      <c r="GC94" s="30"/>
      <c r="GD94" s="30"/>
      <c r="GE94" s="30"/>
      <c r="GF94" s="30"/>
      <c r="GG94" s="30"/>
      <c r="GH94" s="30"/>
      <c r="GI94" s="30"/>
      <c r="GJ94" s="7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2"/>
    </row>
    <row r="95" spans="1:502" ht="5.0999999999999996" customHeight="1" x14ac:dyDescent="0.25">
      <c r="A95" s="2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1"/>
      <c r="DH95" s="30"/>
      <c r="DI95" s="30"/>
      <c r="DJ95" s="30"/>
      <c r="DK95" s="30"/>
      <c r="DL95" s="30"/>
      <c r="DM95" s="30"/>
      <c r="DN95" s="30"/>
      <c r="DO95" s="30"/>
      <c r="DP95" s="30"/>
      <c r="DQ95" s="30"/>
      <c r="DR95" s="30"/>
      <c r="DS95" s="30"/>
      <c r="DT95" s="30"/>
      <c r="DU95" s="30"/>
      <c r="DV95" s="30"/>
      <c r="DW95" s="30"/>
      <c r="DX95" s="30"/>
      <c r="DY95" s="30"/>
      <c r="DZ95" s="30"/>
      <c r="EA95" s="30"/>
      <c r="EB95" s="30"/>
      <c r="EC95" s="30"/>
      <c r="ED95" s="30"/>
      <c r="EE95" s="30"/>
      <c r="EF95" s="30"/>
      <c r="EG95" s="30"/>
      <c r="EH95" s="30"/>
      <c r="EI95" s="30"/>
      <c r="EJ95" s="30"/>
      <c r="EK95" s="30"/>
      <c r="EL95" s="1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1"/>
      <c r="FF95" s="30"/>
      <c r="FG95" s="30"/>
      <c r="FH95" s="30"/>
      <c r="FI95" s="30"/>
      <c r="FJ95" s="30"/>
      <c r="FK95" s="30"/>
      <c r="FL95" s="30"/>
      <c r="FM95" s="30"/>
      <c r="FN95" s="30"/>
      <c r="FO95" s="30"/>
      <c r="FP95" s="30"/>
      <c r="FQ95" s="30"/>
      <c r="FR95" s="30"/>
      <c r="FS95" s="30"/>
      <c r="FT95" s="30"/>
      <c r="FU95" s="30"/>
      <c r="FV95" s="30"/>
      <c r="FW95" s="30"/>
      <c r="FX95" s="30"/>
      <c r="FY95" s="30"/>
      <c r="FZ95" s="30"/>
      <c r="GA95" s="30"/>
      <c r="GB95" s="30"/>
      <c r="GC95" s="30"/>
      <c r="GD95" s="30"/>
      <c r="GE95" s="30"/>
      <c r="GF95" s="30"/>
      <c r="GG95" s="30"/>
      <c r="GH95" s="30"/>
      <c r="GI95" s="30"/>
      <c r="GJ95" s="1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2"/>
    </row>
    <row r="96" spans="1:502" ht="5.0999999999999996" customHeight="1" x14ac:dyDescent="0.25">
      <c r="A96" s="2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7"/>
      <c r="DG96" s="30"/>
      <c r="DH96" s="30"/>
      <c r="DI96" s="30"/>
      <c r="DJ96" s="30"/>
      <c r="DK96" s="30"/>
      <c r="DL96" s="30"/>
      <c r="DM96" s="30"/>
      <c r="DN96" s="30"/>
      <c r="DO96" s="30"/>
      <c r="DP96" s="30"/>
      <c r="DQ96" s="30"/>
      <c r="DR96" s="30"/>
      <c r="DS96" s="30"/>
      <c r="DT96" s="30"/>
      <c r="DU96" s="30"/>
      <c r="DV96" s="30"/>
      <c r="DW96" s="30"/>
      <c r="DX96" s="30"/>
      <c r="DY96" s="30"/>
      <c r="DZ96" s="30"/>
      <c r="EA96" s="30"/>
      <c r="EB96" s="30"/>
      <c r="EC96" s="30"/>
      <c r="ED96" s="30"/>
      <c r="EE96" s="30"/>
      <c r="EF96" s="30"/>
      <c r="EG96" s="30"/>
      <c r="EH96" s="30"/>
      <c r="EI96" s="30"/>
      <c r="EJ96" s="30"/>
      <c r="EK96" s="30"/>
      <c r="EL96" s="30"/>
      <c r="EM96" s="7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7"/>
      <c r="FE96" s="30"/>
      <c r="FF96" s="30"/>
      <c r="FG96" s="30"/>
      <c r="FH96" s="30"/>
      <c r="FI96" s="30"/>
      <c r="FJ96" s="30"/>
      <c r="FK96" s="30"/>
      <c r="FL96" s="30"/>
      <c r="FM96" s="30"/>
      <c r="FN96" s="30"/>
      <c r="FO96" s="30"/>
      <c r="FP96" s="30"/>
      <c r="FQ96" s="30"/>
      <c r="FR96" s="30"/>
      <c r="FS96" s="30"/>
      <c r="FT96" s="30"/>
      <c r="FU96" s="30"/>
      <c r="FV96" s="30"/>
      <c r="FW96" s="30"/>
      <c r="FX96" s="30"/>
      <c r="FY96" s="30"/>
      <c r="FZ96" s="30"/>
      <c r="GA96" s="30"/>
      <c r="GB96" s="30"/>
      <c r="GC96" s="30"/>
      <c r="GD96" s="30"/>
      <c r="GE96" s="30"/>
      <c r="GF96" s="30"/>
      <c r="GG96" s="30"/>
      <c r="GH96" s="30"/>
      <c r="GI96" s="30"/>
      <c r="GJ96" s="30"/>
      <c r="GK96" s="7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2"/>
    </row>
    <row r="97" spans="1:502" ht="5.0999999999999996" customHeight="1" x14ac:dyDescent="0.25">
      <c r="A97" s="2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1"/>
      <c r="DG97" s="30"/>
      <c r="DH97" s="30"/>
      <c r="DI97" s="30"/>
      <c r="DJ97" s="30"/>
      <c r="DK97" s="30"/>
      <c r="DL97" s="30"/>
      <c r="DM97" s="30"/>
      <c r="DN97" s="30"/>
      <c r="DO97" s="30"/>
      <c r="DP97" s="30"/>
      <c r="DQ97" s="30"/>
      <c r="DR97" s="30"/>
      <c r="DS97" s="30"/>
      <c r="DT97" s="30"/>
      <c r="DU97" s="30"/>
      <c r="DV97" s="30"/>
      <c r="DW97" s="30"/>
      <c r="DX97" s="30"/>
      <c r="DY97" s="30"/>
      <c r="DZ97" s="30"/>
      <c r="EA97" s="30"/>
      <c r="EB97" s="30"/>
      <c r="EC97" s="30"/>
      <c r="ED97" s="30"/>
      <c r="EE97" s="30"/>
      <c r="EF97" s="30"/>
      <c r="EG97" s="30"/>
      <c r="EH97" s="30"/>
      <c r="EI97" s="30"/>
      <c r="EJ97" s="30"/>
      <c r="EK97" s="30"/>
      <c r="EL97" s="30"/>
      <c r="EM97" s="1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1"/>
      <c r="FE97" s="30"/>
      <c r="FF97" s="30"/>
      <c r="FG97" s="30"/>
      <c r="FH97" s="30"/>
      <c r="FI97" s="30"/>
      <c r="FJ97" s="30"/>
      <c r="FK97" s="30"/>
      <c r="FL97" s="30"/>
      <c r="FM97" s="30"/>
      <c r="FN97" s="30"/>
      <c r="FO97" s="30"/>
      <c r="FP97" s="30"/>
      <c r="FQ97" s="30"/>
      <c r="FR97" s="30"/>
      <c r="FS97" s="30"/>
      <c r="FT97" s="30"/>
      <c r="FU97" s="30"/>
      <c r="FV97" s="30"/>
      <c r="FW97" s="30"/>
      <c r="FX97" s="30"/>
      <c r="FY97" s="30"/>
      <c r="FZ97" s="30"/>
      <c r="GA97" s="30"/>
      <c r="GB97" s="30"/>
      <c r="GC97" s="30"/>
      <c r="GD97" s="30"/>
      <c r="GE97" s="30"/>
      <c r="GF97" s="30"/>
      <c r="GG97" s="30"/>
      <c r="GH97" s="30"/>
      <c r="GI97" s="30"/>
      <c r="GJ97" s="30"/>
      <c r="GK97" s="1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2"/>
    </row>
    <row r="98" spans="1:502" ht="5.0999999999999996" customHeight="1" x14ac:dyDescent="0.25">
      <c r="A98" s="2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7"/>
      <c r="DF98" s="30"/>
      <c r="DG98" s="30"/>
      <c r="DH98" s="30"/>
      <c r="DI98" s="30"/>
      <c r="DJ98" s="30"/>
      <c r="DK98" s="30"/>
      <c r="DL98" s="30"/>
      <c r="DM98" s="30"/>
      <c r="DN98" s="30"/>
      <c r="DO98" s="30"/>
      <c r="DP98" s="30"/>
      <c r="DQ98" s="30"/>
      <c r="DR98" s="30"/>
      <c r="DS98" s="30"/>
      <c r="DT98" s="30"/>
      <c r="DU98" s="30"/>
      <c r="DV98" s="30"/>
      <c r="DW98" s="30"/>
      <c r="DX98" s="30"/>
      <c r="DY98" s="30"/>
      <c r="DZ98" s="30"/>
      <c r="EA98" s="30"/>
      <c r="EB98" s="30"/>
      <c r="EC98" s="30"/>
      <c r="ED98" s="30"/>
      <c r="EE98" s="30"/>
      <c r="EF98" s="30"/>
      <c r="EG98" s="30"/>
      <c r="EH98" s="30"/>
      <c r="EI98" s="30"/>
      <c r="EJ98" s="30"/>
      <c r="EK98" s="30"/>
      <c r="EL98" s="30"/>
      <c r="EM98" s="30"/>
      <c r="EN98" s="7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7"/>
      <c r="FD98" s="30"/>
      <c r="FE98" s="30"/>
      <c r="FF98" s="30"/>
      <c r="FG98" s="30"/>
      <c r="FH98" s="30"/>
      <c r="FI98" s="30"/>
      <c r="FJ98" s="30"/>
      <c r="FK98" s="30"/>
      <c r="FL98" s="30"/>
      <c r="FM98" s="30"/>
      <c r="FN98" s="30"/>
      <c r="FO98" s="30"/>
      <c r="FP98" s="30"/>
      <c r="FQ98" s="30"/>
      <c r="FR98" s="30"/>
      <c r="FS98" s="30"/>
      <c r="FT98" s="30"/>
      <c r="FU98" s="30"/>
      <c r="FV98" s="30"/>
      <c r="FW98" s="30"/>
      <c r="FX98" s="30"/>
      <c r="FY98" s="30"/>
      <c r="FZ98" s="30"/>
      <c r="GA98" s="30"/>
      <c r="GB98" s="30"/>
      <c r="GC98" s="30"/>
      <c r="GD98" s="30"/>
      <c r="GE98" s="30"/>
      <c r="GF98" s="30"/>
      <c r="GG98" s="30"/>
      <c r="GH98" s="30"/>
      <c r="GI98" s="30"/>
      <c r="GJ98" s="30"/>
      <c r="GK98" s="30"/>
      <c r="GL98" s="7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2"/>
    </row>
    <row r="99" spans="1:502" ht="5.0999999999999996" customHeight="1" x14ac:dyDescent="0.25">
      <c r="A99" s="2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7"/>
      <c r="DF99" s="30"/>
      <c r="DG99" s="30"/>
      <c r="DH99" s="30"/>
      <c r="DI99" s="30"/>
      <c r="DJ99" s="30"/>
      <c r="DK99" s="30"/>
      <c r="DL99" s="30"/>
      <c r="DM99" s="30"/>
      <c r="DN99" s="30"/>
      <c r="DO99" s="30"/>
      <c r="DP99" s="30"/>
      <c r="DQ99" s="30"/>
      <c r="DR99" s="30"/>
      <c r="DS99" s="30"/>
      <c r="DT99" s="30"/>
      <c r="DU99" s="30"/>
      <c r="DV99" s="30"/>
      <c r="DW99" s="30"/>
      <c r="DX99" s="30"/>
      <c r="DY99" s="30"/>
      <c r="DZ99" s="30"/>
      <c r="EA99" s="30"/>
      <c r="EB99" s="30"/>
      <c r="EC99" s="30"/>
      <c r="ED99" s="30"/>
      <c r="EE99" s="30"/>
      <c r="EF99" s="30"/>
      <c r="EG99" s="30"/>
      <c r="EH99" s="30"/>
      <c r="EI99" s="30"/>
      <c r="EJ99" s="30"/>
      <c r="EK99" s="30"/>
      <c r="EL99" s="30"/>
      <c r="EM99" s="30"/>
      <c r="EN99" s="7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7"/>
      <c r="FD99" s="30"/>
      <c r="FE99" s="30"/>
      <c r="FF99" s="30"/>
      <c r="FG99" s="30"/>
      <c r="FH99" s="30"/>
      <c r="FI99" s="30"/>
      <c r="FJ99" s="30"/>
      <c r="FK99" s="30"/>
      <c r="FL99" s="30"/>
      <c r="FM99" s="30"/>
      <c r="FN99" s="30"/>
      <c r="FO99" s="30"/>
      <c r="FP99" s="30"/>
      <c r="FQ99" s="30"/>
      <c r="FR99" s="30"/>
      <c r="FS99" s="30"/>
      <c r="FT99" s="30"/>
      <c r="FU99" s="30"/>
      <c r="FV99" s="30"/>
      <c r="FW99" s="30"/>
      <c r="FX99" s="30"/>
      <c r="FY99" s="30"/>
      <c r="FZ99" s="30"/>
      <c r="GA99" s="30"/>
      <c r="GB99" s="30"/>
      <c r="GC99" s="30"/>
      <c r="GD99" s="30"/>
      <c r="GE99" s="30"/>
      <c r="GF99" s="30"/>
      <c r="GG99" s="30"/>
      <c r="GH99" s="30"/>
      <c r="GI99" s="30"/>
      <c r="GJ99" s="30"/>
      <c r="GK99" s="30"/>
      <c r="GL99" s="7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2"/>
    </row>
    <row r="100" spans="1:502" ht="5.0999999999999996" customHeight="1" x14ac:dyDescent="0.25">
      <c r="A100" s="2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7"/>
      <c r="DF100" s="30"/>
      <c r="DG100" s="30"/>
      <c r="DH100" s="30"/>
      <c r="DI100" s="30"/>
      <c r="DJ100" s="30"/>
      <c r="DK100" s="30"/>
      <c r="DL100" s="30"/>
      <c r="DM100" s="30"/>
      <c r="DN100" s="30"/>
      <c r="DO100" s="30"/>
      <c r="DP100" s="30"/>
      <c r="DQ100" s="30"/>
      <c r="DR100" s="30"/>
      <c r="DS100" s="30"/>
      <c r="DT100" s="30"/>
      <c r="DU100" s="30"/>
      <c r="DV100" s="30"/>
      <c r="DW100" s="30"/>
      <c r="DX100" s="30"/>
      <c r="DY100" s="30"/>
      <c r="DZ100" s="30"/>
      <c r="EA100" s="30"/>
      <c r="EB100" s="30"/>
      <c r="EC100" s="30"/>
      <c r="ED100" s="30"/>
      <c r="EE100" s="30"/>
      <c r="EF100" s="30"/>
      <c r="EG100" s="30"/>
      <c r="EH100" s="30"/>
      <c r="EI100" s="30"/>
      <c r="EJ100" s="30"/>
      <c r="EK100" s="30"/>
      <c r="EL100" s="30"/>
      <c r="EM100" s="30"/>
      <c r="EN100" s="7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7"/>
      <c r="FD100" s="30"/>
      <c r="FE100" s="30"/>
      <c r="FF100" s="30"/>
      <c r="FG100" s="30"/>
      <c r="FH100" s="30"/>
      <c r="FI100" s="30"/>
      <c r="FJ100" s="30"/>
      <c r="FK100" s="30"/>
      <c r="FL100" s="30"/>
      <c r="FM100" s="30"/>
      <c r="FN100" s="30"/>
      <c r="FO100" s="30"/>
      <c r="FP100" s="30"/>
      <c r="FQ100" s="30"/>
      <c r="FR100" s="30"/>
      <c r="FS100" s="30"/>
      <c r="FT100" s="30"/>
      <c r="FU100" s="30"/>
      <c r="FV100" s="30"/>
      <c r="FW100" s="30"/>
      <c r="FX100" s="30"/>
      <c r="FY100" s="30"/>
      <c r="FZ100" s="30"/>
      <c r="GA100" s="30"/>
      <c r="GB100" s="30"/>
      <c r="GC100" s="30"/>
      <c r="GD100" s="30"/>
      <c r="GE100" s="30"/>
      <c r="GF100" s="30"/>
      <c r="GG100" s="30"/>
      <c r="GH100" s="30"/>
      <c r="GI100" s="30"/>
      <c r="GJ100" s="30"/>
      <c r="GK100" s="30"/>
      <c r="GL100" s="7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2"/>
    </row>
    <row r="101" spans="1:502" ht="5.0999999999999996" customHeight="1" x14ac:dyDescent="0.25">
      <c r="A101" s="2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7"/>
      <c r="DF101" s="30"/>
      <c r="DG101" s="30"/>
      <c r="DH101" s="30"/>
      <c r="DI101" s="30"/>
      <c r="DJ101" s="30"/>
      <c r="DK101" s="30"/>
      <c r="DL101" s="30"/>
      <c r="DM101" s="30"/>
      <c r="DN101" s="30"/>
      <c r="DO101" s="30"/>
      <c r="DP101" s="30"/>
      <c r="DQ101" s="30"/>
      <c r="DR101" s="30"/>
      <c r="DS101" s="30"/>
      <c r="DT101" s="30"/>
      <c r="DU101" s="30"/>
      <c r="DV101" s="30"/>
      <c r="DW101" s="30"/>
      <c r="DX101" s="30"/>
      <c r="DY101" s="30"/>
      <c r="DZ101" s="30"/>
      <c r="EA101" s="30"/>
      <c r="EB101" s="30"/>
      <c r="EC101" s="30"/>
      <c r="ED101" s="30"/>
      <c r="EE101" s="30"/>
      <c r="EF101" s="30"/>
      <c r="EG101" s="30"/>
      <c r="EH101" s="30"/>
      <c r="EI101" s="30"/>
      <c r="EJ101" s="30"/>
      <c r="EK101" s="30"/>
      <c r="EL101" s="30"/>
      <c r="EM101" s="30"/>
      <c r="EN101" s="7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7"/>
      <c r="FD101" s="30"/>
      <c r="FE101" s="30"/>
      <c r="FF101" s="30"/>
      <c r="FG101" s="30"/>
      <c r="FH101" s="30"/>
      <c r="FI101" s="30"/>
      <c r="FJ101" s="30"/>
      <c r="FK101" s="30"/>
      <c r="FL101" s="30"/>
      <c r="FM101" s="30"/>
      <c r="FN101" s="30"/>
      <c r="FO101" s="30"/>
      <c r="FP101" s="30"/>
      <c r="FQ101" s="30"/>
      <c r="FR101" s="30"/>
      <c r="FS101" s="30"/>
      <c r="FT101" s="30"/>
      <c r="FU101" s="30"/>
      <c r="FV101" s="30"/>
      <c r="FW101" s="30"/>
      <c r="FX101" s="30"/>
      <c r="FY101" s="30"/>
      <c r="FZ101" s="30"/>
      <c r="GA101" s="30"/>
      <c r="GB101" s="30"/>
      <c r="GC101" s="30"/>
      <c r="GD101" s="30"/>
      <c r="GE101" s="30"/>
      <c r="GF101" s="30"/>
      <c r="GG101" s="30"/>
      <c r="GH101" s="30"/>
      <c r="GI101" s="30"/>
      <c r="GJ101" s="30"/>
      <c r="GK101" s="30"/>
      <c r="GL101" s="7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2"/>
    </row>
    <row r="102" spans="1:502" ht="5.0999999999999996" customHeight="1" x14ac:dyDescent="0.25">
      <c r="A102" s="2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3"/>
      <c r="DI102" s="13"/>
      <c r="DJ102" s="13"/>
      <c r="DK102" s="13"/>
      <c r="DL102" s="13"/>
      <c r="DM102" s="13"/>
      <c r="DN102" s="13"/>
      <c r="DO102" s="13"/>
      <c r="DP102" s="13"/>
      <c r="DQ102" s="13"/>
      <c r="DR102" s="13"/>
      <c r="DS102" s="13"/>
      <c r="DT102" s="13"/>
      <c r="DU102" s="13"/>
      <c r="DV102" s="13"/>
      <c r="DW102" s="13"/>
      <c r="DX102" s="13"/>
      <c r="DY102" s="13"/>
      <c r="DZ102" s="13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13"/>
      <c r="FQ102" s="13"/>
      <c r="FR102" s="13"/>
      <c r="FS102" s="13"/>
      <c r="FT102" s="13"/>
      <c r="FU102" s="13"/>
      <c r="FV102" s="13"/>
      <c r="FW102" s="13"/>
      <c r="FX102" s="13"/>
      <c r="FY102" s="13"/>
      <c r="FZ102" s="13"/>
      <c r="GA102" s="1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  <c r="HJ102" s="13"/>
      <c r="HK102" s="13"/>
      <c r="HL102" s="13"/>
      <c r="HM102" s="13"/>
      <c r="HN102" s="13"/>
      <c r="HO102" s="13"/>
      <c r="HP102" s="13"/>
      <c r="HQ102" s="13"/>
      <c r="HR102" s="13"/>
      <c r="HS102" s="13"/>
      <c r="HT102" s="13"/>
      <c r="HU102" s="13"/>
      <c r="HV102" s="13"/>
      <c r="HW102" s="13"/>
      <c r="HX102" s="13"/>
      <c r="HY102" s="13"/>
      <c r="HZ102" s="13"/>
      <c r="IA102" s="13"/>
      <c r="IB102" s="13"/>
      <c r="IC102" s="13"/>
      <c r="ID102" s="13"/>
      <c r="IE102" s="13"/>
      <c r="IF102" s="13"/>
      <c r="IG102" s="13"/>
      <c r="IH102" s="13"/>
      <c r="II102" s="13"/>
      <c r="IJ102" s="13"/>
      <c r="IK102" s="13"/>
      <c r="IL102" s="13"/>
      <c r="IM102" s="13"/>
      <c r="IN102" s="13"/>
      <c r="IO102" s="13"/>
      <c r="IP102" s="13"/>
      <c r="IQ102" s="13"/>
      <c r="IR102" s="13"/>
      <c r="IS102" s="13"/>
      <c r="IT102" s="13"/>
      <c r="IU102" s="13"/>
      <c r="IV102" s="13"/>
      <c r="IW102" s="13"/>
      <c r="IX102" s="13"/>
      <c r="IY102" s="13"/>
      <c r="IZ102" s="13"/>
      <c r="JA102" s="13"/>
      <c r="JB102" s="13"/>
      <c r="JC102" s="13"/>
      <c r="JD102" s="13"/>
      <c r="JE102" s="13"/>
      <c r="JF102" s="13"/>
      <c r="JG102" s="13"/>
      <c r="JH102" s="13"/>
      <c r="JI102" s="13"/>
      <c r="JJ102" s="13"/>
      <c r="JK102" s="13"/>
      <c r="JL102" s="13"/>
      <c r="JM102" s="13"/>
      <c r="JN102" s="13"/>
      <c r="JO102" s="13"/>
      <c r="JP102" s="13"/>
      <c r="JQ102" s="13"/>
      <c r="JR102" s="13"/>
      <c r="JS102" s="13"/>
      <c r="JT102" s="13"/>
      <c r="JU102" s="13"/>
      <c r="JV102" s="13"/>
      <c r="JW102" s="13"/>
      <c r="JX102" s="13"/>
      <c r="JY102" s="13"/>
      <c r="JZ102" s="13"/>
      <c r="KA102" s="13"/>
      <c r="KB102" s="13"/>
      <c r="KC102" s="13"/>
      <c r="KD102" s="13"/>
      <c r="KE102" s="13"/>
      <c r="KF102" s="13"/>
      <c r="KG102" s="13"/>
      <c r="KH102" s="13"/>
      <c r="KI102" s="13"/>
      <c r="KJ102" s="13"/>
      <c r="KK102" s="13"/>
      <c r="KL102" s="13"/>
      <c r="KM102" s="13"/>
      <c r="KN102" s="13"/>
      <c r="KO102" s="13"/>
      <c r="KP102" s="13"/>
      <c r="KQ102" s="13"/>
      <c r="KR102" s="13"/>
      <c r="KS102" s="13"/>
      <c r="KT102" s="13"/>
      <c r="KU102" s="13"/>
      <c r="KV102" s="13"/>
      <c r="KW102" s="13"/>
      <c r="KX102" s="13"/>
      <c r="KY102" s="13"/>
      <c r="KZ102" s="13"/>
      <c r="LA102" s="13"/>
      <c r="LB102" s="13"/>
      <c r="LC102" s="13"/>
      <c r="LD102" s="13"/>
      <c r="LE102" s="13"/>
      <c r="LF102" s="13"/>
      <c r="LG102" s="13"/>
      <c r="LH102" s="13"/>
      <c r="LI102" s="13"/>
      <c r="LJ102" s="13"/>
      <c r="LK102" s="13"/>
      <c r="LL102" s="13"/>
      <c r="LM102" s="13"/>
      <c r="LN102" s="13"/>
      <c r="LO102" s="13"/>
      <c r="LP102" s="13"/>
      <c r="LQ102" s="13"/>
      <c r="LR102" s="13"/>
      <c r="LS102" s="13"/>
      <c r="LT102" s="13"/>
      <c r="LU102" s="13"/>
      <c r="LV102" s="13"/>
      <c r="LW102" s="13"/>
      <c r="LX102" s="13"/>
      <c r="LY102" s="13"/>
      <c r="LZ102" s="13"/>
      <c r="MA102" s="13"/>
      <c r="MB102" s="13"/>
      <c r="MC102" s="13"/>
      <c r="MD102" s="13"/>
      <c r="ME102" s="13"/>
      <c r="MF102" s="13"/>
      <c r="MG102" s="13"/>
      <c r="MH102" s="13"/>
      <c r="MI102" s="13"/>
      <c r="MJ102" s="13"/>
      <c r="MK102" s="13"/>
      <c r="ML102" s="13"/>
      <c r="MM102" s="13"/>
      <c r="MN102" s="13"/>
      <c r="MO102" s="13"/>
      <c r="MP102" s="13"/>
      <c r="MQ102" s="13"/>
      <c r="MR102" s="13"/>
      <c r="MS102" s="13"/>
      <c r="MT102" s="13"/>
      <c r="MU102" s="13"/>
      <c r="MV102" s="13"/>
      <c r="MW102" s="13"/>
      <c r="MX102" s="13"/>
      <c r="MY102" s="13"/>
      <c r="MZ102" s="13"/>
      <c r="NA102" s="13"/>
      <c r="NB102" s="13"/>
      <c r="NC102" s="13"/>
      <c r="ND102" s="13"/>
      <c r="NE102" s="13"/>
      <c r="NF102" s="13"/>
      <c r="NG102" s="13"/>
      <c r="NH102" s="13"/>
      <c r="NI102" s="13"/>
      <c r="NJ102" s="13"/>
      <c r="NK102" s="13"/>
      <c r="NL102" s="13"/>
      <c r="NM102" s="13"/>
      <c r="NN102" s="13"/>
      <c r="NO102" s="13"/>
      <c r="NP102" s="13"/>
      <c r="NQ102" s="13"/>
      <c r="NR102" s="13"/>
      <c r="NS102" s="13"/>
      <c r="NT102" s="13"/>
      <c r="NU102" s="13"/>
      <c r="NV102" s="13"/>
      <c r="NW102" s="13"/>
      <c r="NX102" s="13"/>
      <c r="NY102" s="13"/>
      <c r="NZ102" s="13"/>
      <c r="OA102" s="13"/>
      <c r="OB102" s="13"/>
      <c r="OC102" s="13"/>
      <c r="OD102" s="13"/>
      <c r="OE102" s="13"/>
      <c r="OF102" s="13"/>
      <c r="OG102" s="13"/>
      <c r="OH102" s="13"/>
      <c r="OI102" s="13"/>
      <c r="OJ102" s="13"/>
      <c r="OK102" s="13"/>
      <c r="OL102" s="13"/>
      <c r="OM102" s="13"/>
      <c r="ON102" s="13"/>
      <c r="OO102" s="13"/>
      <c r="OP102" s="13"/>
      <c r="OQ102" s="13"/>
      <c r="OR102" s="13"/>
      <c r="OS102" s="13"/>
      <c r="OT102" s="13"/>
      <c r="OU102" s="13"/>
      <c r="OV102" s="13"/>
      <c r="OW102" s="13"/>
      <c r="OX102" s="13"/>
      <c r="OY102" s="13"/>
      <c r="OZ102" s="13"/>
      <c r="PA102" s="13"/>
      <c r="PB102" s="13"/>
      <c r="PC102" s="13"/>
      <c r="PD102" s="13"/>
      <c r="PE102" s="13"/>
      <c r="PF102" s="13"/>
      <c r="PG102" s="13"/>
      <c r="PH102" s="13"/>
      <c r="PI102" s="13"/>
      <c r="PJ102" s="13"/>
      <c r="PK102" s="13"/>
      <c r="PL102" s="13"/>
      <c r="PM102" s="13"/>
      <c r="PN102" s="13"/>
      <c r="PO102" s="13"/>
      <c r="PP102" s="13"/>
      <c r="PQ102" s="13"/>
      <c r="PR102" s="13"/>
      <c r="PS102" s="13"/>
      <c r="PT102" s="13"/>
      <c r="PU102" s="13"/>
      <c r="PV102" s="13"/>
      <c r="PW102" s="13"/>
      <c r="PX102" s="13"/>
      <c r="PY102" s="13"/>
      <c r="PZ102" s="13"/>
      <c r="QA102" s="13"/>
      <c r="QB102" s="13"/>
      <c r="QC102" s="13"/>
      <c r="QD102" s="13"/>
      <c r="QE102" s="13"/>
      <c r="QF102" s="13"/>
      <c r="QG102" s="13"/>
      <c r="QH102" s="13"/>
      <c r="QI102" s="13"/>
      <c r="QJ102" s="13"/>
      <c r="QK102" s="13"/>
      <c r="QL102" s="13"/>
      <c r="QM102" s="13"/>
      <c r="QN102" s="13"/>
      <c r="QO102" s="13"/>
      <c r="QP102" s="13"/>
      <c r="QQ102" s="13"/>
      <c r="QR102" s="13"/>
      <c r="QS102" s="13"/>
      <c r="QT102" s="13"/>
      <c r="QU102" s="13"/>
      <c r="QV102" s="13"/>
      <c r="QW102" s="13"/>
      <c r="QX102" s="13"/>
      <c r="QY102" s="13"/>
      <c r="QZ102" s="13"/>
      <c r="RA102" s="13"/>
      <c r="RB102" s="13"/>
      <c r="RC102" s="13"/>
      <c r="RD102" s="13"/>
      <c r="RE102" s="13"/>
      <c r="RF102" s="13"/>
      <c r="RG102" s="13"/>
      <c r="RH102" s="13"/>
      <c r="RI102" s="13"/>
      <c r="RJ102" s="13"/>
      <c r="RK102" s="13"/>
      <c r="RL102" s="13"/>
      <c r="RM102" s="13"/>
      <c r="RN102" s="13"/>
      <c r="RO102" s="13"/>
      <c r="RP102" s="13"/>
      <c r="RQ102" s="13"/>
      <c r="RR102" s="13"/>
      <c r="RS102" s="13"/>
      <c r="RT102" s="13"/>
      <c r="RU102" s="13"/>
      <c r="RV102" s="13"/>
      <c r="RW102" s="13"/>
      <c r="RX102" s="13"/>
      <c r="RY102" s="13"/>
      <c r="RZ102" s="13"/>
      <c r="SA102" s="13"/>
      <c r="SB102" s="13"/>
      <c r="SC102" s="13"/>
      <c r="SD102" s="13"/>
      <c r="SE102" s="13"/>
      <c r="SF102" s="13"/>
      <c r="SG102" s="13"/>
      <c r="SH102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B1:M34"/>
  <sheetViews>
    <sheetView workbookViewId="0">
      <selection activeCell="I11" sqref="I11"/>
    </sheetView>
  </sheetViews>
  <sheetFormatPr defaultRowHeight="15" x14ac:dyDescent="0.25"/>
  <cols>
    <col min="1" max="1" width="8.85546875" customWidth="1"/>
    <col min="2" max="2" width="12.140625" customWidth="1"/>
    <col min="4" max="4" width="10.85546875" customWidth="1"/>
    <col min="10" max="10" width="18" customWidth="1"/>
    <col min="12" max="12" width="12.28515625" customWidth="1"/>
  </cols>
  <sheetData>
    <row r="1" spans="2:13" ht="18.600000000000001" thickBot="1" x14ac:dyDescent="0.4">
      <c r="B1" s="4" t="s">
        <v>4</v>
      </c>
      <c r="C1" s="19"/>
      <c r="D1" s="20"/>
      <c r="E1" s="21"/>
      <c r="F1" s="22" t="s">
        <v>10</v>
      </c>
      <c r="G1" s="20"/>
      <c r="H1" s="20"/>
      <c r="J1" s="12" t="s">
        <v>21</v>
      </c>
      <c r="K1" s="5"/>
      <c r="L1" s="5"/>
    </row>
    <row r="2" spans="2:13" ht="14.45" customHeight="1" x14ac:dyDescent="0.3">
      <c r="C2" s="21"/>
      <c r="D2" s="21"/>
      <c r="E2" s="21"/>
      <c r="F2" s="21"/>
      <c r="G2" s="21"/>
      <c r="H2" s="21"/>
      <c r="J2" s="6"/>
      <c r="K2" t="s">
        <v>42</v>
      </c>
      <c r="M2">
        <v>0</v>
      </c>
    </row>
    <row r="3" spans="2:13" ht="14.45" x14ac:dyDescent="0.3">
      <c r="B3" t="s">
        <v>0</v>
      </c>
      <c r="C3" s="10">
        <v>1</v>
      </c>
      <c r="D3" s="21" t="s">
        <v>11</v>
      </c>
      <c r="E3" s="21"/>
      <c r="F3" s="21" t="s">
        <v>44</v>
      </c>
      <c r="G3" s="8">
        <v>273</v>
      </c>
      <c r="H3" s="21" t="s">
        <v>12</v>
      </c>
      <c r="J3" s="18"/>
      <c r="K3" t="s">
        <v>43</v>
      </c>
      <c r="M3">
        <v>3</v>
      </c>
    </row>
    <row r="4" spans="2:13" ht="14.45" x14ac:dyDescent="0.3">
      <c r="B4" t="s">
        <v>1</v>
      </c>
      <c r="C4" s="10">
        <v>0.2</v>
      </c>
      <c r="D4" s="21" t="s">
        <v>11</v>
      </c>
      <c r="E4" s="21"/>
      <c r="F4" s="21" t="s">
        <v>45</v>
      </c>
      <c r="G4" s="8">
        <v>320</v>
      </c>
      <c r="H4" s="21" t="s">
        <v>12</v>
      </c>
      <c r="J4" s="13"/>
      <c r="K4" t="s">
        <v>46</v>
      </c>
      <c r="M4">
        <v>10</v>
      </c>
    </row>
    <row r="5" spans="2:13" ht="14.45" x14ac:dyDescent="0.3">
      <c r="B5" s="14" t="s">
        <v>41</v>
      </c>
      <c r="C5" s="9">
        <f>C7/C6</f>
        <v>0.2</v>
      </c>
      <c r="D5" s="23"/>
      <c r="E5" s="21"/>
      <c r="F5" s="21" t="s">
        <v>29</v>
      </c>
      <c r="G5" s="8">
        <v>1</v>
      </c>
      <c r="H5" s="21" t="s">
        <v>13</v>
      </c>
      <c r="J5" s="3"/>
      <c r="K5" t="s">
        <v>22</v>
      </c>
      <c r="M5">
        <v>44</v>
      </c>
    </row>
    <row r="6" spans="2:13" ht="14.45" x14ac:dyDescent="0.3">
      <c r="B6" t="s">
        <v>2</v>
      </c>
      <c r="C6" s="8">
        <f>C3/C4*C7</f>
        <v>500</v>
      </c>
      <c r="D6" s="21"/>
      <c r="E6" s="21"/>
      <c r="F6" s="21"/>
      <c r="G6" s="21"/>
      <c r="H6" s="21"/>
      <c r="J6" s="7"/>
      <c r="K6" t="s">
        <v>23</v>
      </c>
      <c r="M6">
        <v>42</v>
      </c>
    </row>
    <row r="7" spans="2:13" ht="14.45" x14ac:dyDescent="0.3">
      <c r="B7" t="s">
        <v>3</v>
      </c>
      <c r="C7" s="8">
        <v>100</v>
      </c>
      <c r="D7" s="21"/>
      <c r="E7" s="21"/>
      <c r="F7" s="21"/>
      <c r="G7" s="21"/>
      <c r="H7" s="21"/>
      <c r="J7" s="11"/>
      <c r="K7" t="s">
        <v>24</v>
      </c>
      <c r="M7">
        <v>41</v>
      </c>
    </row>
    <row r="8" spans="2:13" ht="14.45" x14ac:dyDescent="0.3">
      <c r="C8" s="24" t="b">
        <v>0</v>
      </c>
      <c r="D8" s="21"/>
      <c r="E8" s="21"/>
      <c r="F8" s="21"/>
      <c r="G8" s="21"/>
      <c r="H8" s="21"/>
    </row>
    <row r="9" spans="2:13" ht="14.45" x14ac:dyDescent="0.3">
      <c r="C9" s="21"/>
      <c r="D9" s="21"/>
      <c r="E9" s="21"/>
      <c r="F9" s="21"/>
      <c r="G9" s="21"/>
      <c r="H9" s="21"/>
    </row>
    <row r="10" spans="2:13" ht="14.45" x14ac:dyDescent="0.3">
      <c r="C10" s="21"/>
      <c r="D10" s="21"/>
      <c r="E10" s="21"/>
      <c r="F10" s="21"/>
      <c r="G10" s="21"/>
      <c r="H10" s="21"/>
    </row>
    <row r="11" spans="2:13" ht="18.600000000000001" thickBot="1" x14ac:dyDescent="0.4">
      <c r="B11" s="4" t="s">
        <v>19</v>
      </c>
      <c r="C11" s="20"/>
      <c r="D11" s="20"/>
      <c r="E11" s="21"/>
      <c r="F11" s="22" t="s">
        <v>28</v>
      </c>
      <c r="G11" s="20"/>
      <c r="H11" s="20"/>
      <c r="J11" s="4" t="s">
        <v>27</v>
      </c>
      <c r="K11" s="5"/>
      <c r="L11" s="5"/>
    </row>
    <row r="12" spans="2:13" ht="14.45" x14ac:dyDescent="0.3">
      <c r="C12" s="21"/>
      <c r="D12" s="21"/>
      <c r="E12" s="21"/>
      <c r="F12" s="21"/>
      <c r="G12" s="21"/>
      <c r="H12" s="21"/>
    </row>
    <row r="13" spans="2:13" ht="14.45" x14ac:dyDescent="0.3">
      <c r="B13" t="s">
        <v>9</v>
      </c>
      <c r="C13" s="8">
        <v>100</v>
      </c>
      <c r="D13" s="21"/>
      <c r="E13" s="21"/>
      <c r="F13" s="25" t="s">
        <v>7</v>
      </c>
      <c r="G13" s="33" t="s">
        <v>8</v>
      </c>
      <c r="H13" s="33"/>
      <c r="J13" t="s">
        <v>30</v>
      </c>
      <c r="K13" s="17" t="s">
        <v>31</v>
      </c>
      <c r="L13" s="16"/>
    </row>
    <row r="14" spans="2:13" ht="14.45" x14ac:dyDescent="0.3">
      <c r="B14" t="s">
        <v>14</v>
      </c>
      <c r="C14" s="8">
        <v>1</v>
      </c>
      <c r="D14" s="21"/>
      <c r="E14" s="21"/>
      <c r="F14" s="25" t="s">
        <v>25</v>
      </c>
      <c r="G14" s="8">
        <v>0.1</v>
      </c>
      <c r="H14" s="25"/>
      <c r="J14" t="s">
        <v>33</v>
      </c>
      <c r="K14" s="15">
        <f>INDEX('Fluid properties'!$A$4:$R$15,1,MATCH($K$13,'Fluid properties'!$3:$3))</f>
        <v>1</v>
      </c>
      <c r="L14" t="s">
        <v>38</v>
      </c>
    </row>
    <row r="15" spans="2:13" ht="14.45" x14ac:dyDescent="0.3">
      <c r="B15" t="s">
        <v>15</v>
      </c>
      <c r="C15" s="8">
        <v>1</v>
      </c>
      <c r="D15" s="21"/>
      <c r="E15" s="21"/>
      <c r="F15" s="21"/>
      <c r="G15" s="21"/>
      <c r="H15" s="21"/>
      <c r="J15" t="s">
        <v>34</v>
      </c>
      <c r="K15" s="15">
        <f>INDEX('Fluid properties'!$A$4:$R$15,2,MATCH($K$13,'Fluid properties'!$3:$3))</f>
        <v>2.0000000000000002E-5</v>
      </c>
      <c r="L15" t="s">
        <v>39</v>
      </c>
    </row>
    <row r="16" spans="2:13" ht="14.45" x14ac:dyDescent="0.3">
      <c r="B16" t="s">
        <v>16</v>
      </c>
      <c r="C16" s="8">
        <v>30</v>
      </c>
      <c r="D16" s="21"/>
      <c r="E16" s="21"/>
      <c r="F16" s="21" t="s">
        <v>5</v>
      </c>
      <c r="G16" s="8">
        <v>0.3</v>
      </c>
      <c r="H16" s="21"/>
      <c r="J16" t="s">
        <v>37</v>
      </c>
      <c r="K16">
        <f>INDEX('Fluid properties'!$A$4:$R$15,3,MATCH($K$13,'Fluid properties'!$3:$3))</f>
        <v>1013</v>
      </c>
      <c r="L16" t="s">
        <v>36</v>
      </c>
    </row>
    <row r="17" spans="2:12" ht="14.45" x14ac:dyDescent="0.3">
      <c r="B17" t="s">
        <v>20</v>
      </c>
      <c r="C17" s="8">
        <v>1</v>
      </c>
      <c r="D17" s="21"/>
      <c r="E17" s="21"/>
      <c r="F17" s="21" t="s">
        <v>6</v>
      </c>
      <c r="G17" s="8">
        <v>1</v>
      </c>
      <c r="H17" s="21"/>
      <c r="J17" t="s">
        <v>35</v>
      </c>
      <c r="K17">
        <f>INDEX('Fluid properties'!$A$4:$R$15,4,MATCH($K$13,'Fluid properties'!$3:$3))</f>
        <v>2.5000000000000001E-2</v>
      </c>
      <c r="L17" t="s">
        <v>40</v>
      </c>
    </row>
    <row r="18" spans="2:12" ht="14.45" x14ac:dyDescent="0.3">
      <c r="B18" t="s">
        <v>17</v>
      </c>
      <c r="C18" s="8">
        <v>1</v>
      </c>
      <c r="D18" s="21"/>
      <c r="E18" s="21"/>
      <c r="F18" s="21"/>
      <c r="G18" s="21"/>
      <c r="H18" s="21"/>
    </row>
    <row r="19" spans="2:12" ht="14.45" x14ac:dyDescent="0.3">
      <c r="B19" t="s">
        <v>18</v>
      </c>
      <c r="C19" s="8">
        <v>1</v>
      </c>
      <c r="D19" s="21"/>
      <c r="E19" s="21"/>
      <c r="F19" s="23" t="s">
        <v>26</v>
      </c>
      <c r="G19" s="8">
        <v>1E-3</v>
      </c>
      <c r="H19" s="23"/>
    </row>
    <row r="20" spans="2:12" ht="14.45" x14ac:dyDescent="0.3">
      <c r="C20" s="21"/>
      <c r="D20" s="21"/>
      <c r="E20" s="21"/>
      <c r="F20" s="23" t="s">
        <v>60</v>
      </c>
      <c r="G20" s="8">
        <v>0.14000000000000001</v>
      </c>
      <c r="H20" s="21"/>
    </row>
    <row r="21" spans="2:12" ht="14.45" x14ac:dyDescent="0.3">
      <c r="C21" s="21"/>
      <c r="D21" s="21"/>
      <c r="E21" s="21"/>
      <c r="F21" s="21"/>
      <c r="G21" s="21"/>
      <c r="H21" s="21"/>
    </row>
    <row r="22" spans="2:12" ht="18.600000000000001" thickBot="1" x14ac:dyDescent="0.4">
      <c r="B22" s="4" t="s">
        <v>48</v>
      </c>
      <c r="C22" s="19"/>
      <c r="D22" s="20"/>
      <c r="E22" s="20"/>
      <c r="F22" s="20"/>
      <c r="G22" s="20"/>
      <c r="H22" s="20"/>
      <c r="J22" s="4" t="s">
        <v>61</v>
      </c>
      <c r="K22" s="5"/>
      <c r="L22" s="5"/>
    </row>
    <row r="23" spans="2:12" ht="14.45" x14ac:dyDescent="0.3">
      <c r="C23" s="21"/>
      <c r="D23" s="21"/>
      <c r="E23" s="21"/>
      <c r="F23" s="21" t="s">
        <v>49</v>
      </c>
      <c r="G23" s="21"/>
      <c r="H23" s="21" t="s">
        <v>51</v>
      </c>
      <c r="K23" s="29" t="b">
        <v>0</v>
      </c>
    </row>
    <row r="24" spans="2:12" ht="14.45" x14ac:dyDescent="0.3">
      <c r="B24" t="s">
        <v>50</v>
      </c>
      <c r="C24" s="8" t="s">
        <v>63</v>
      </c>
      <c r="E24" t="s">
        <v>54</v>
      </c>
      <c r="F24" s="9">
        <f>0.25*C$27</f>
        <v>0.25</v>
      </c>
      <c r="H24" s="9">
        <f>F24+IF(C24="Square",C31,SQRT(C31^2 - (C31/2)^2))</f>
        <v>0.35</v>
      </c>
      <c r="J24" s="28" t="b">
        <v>0</v>
      </c>
      <c r="L24" s="16"/>
    </row>
    <row r="25" spans="2:12" ht="14.45" x14ac:dyDescent="0.3">
      <c r="B25" t="s">
        <v>52</v>
      </c>
      <c r="C25" s="8">
        <v>1.5</v>
      </c>
      <c r="D25" t="s">
        <v>56</v>
      </c>
      <c r="E25" t="s">
        <v>55</v>
      </c>
      <c r="F25" s="9">
        <v>0</v>
      </c>
      <c r="G25" s="23"/>
      <c r="H25" s="9">
        <f>IF(C24="Square",F25,C31/2)</f>
        <v>0</v>
      </c>
      <c r="K25" s="15"/>
    </row>
    <row r="26" spans="2:12" x14ac:dyDescent="0.25">
      <c r="F26" s="26"/>
      <c r="G26" s="26"/>
      <c r="H26" s="26"/>
      <c r="J26" t="s">
        <v>62</v>
      </c>
      <c r="K26" s="32">
        <f>G19*G5/(C3/C6)</f>
        <v>0.5</v>
      </c>
    </row>
    <row r="27" spans="2:12" ht="14.45" customHeight="1" x14ac:dyDescent="0.25">
      <c r="B27" t="s">
        <v>0</v>
      </c>
      <c r="C27" s="27">
        <f>C3</f>
        <v>1</v>
      </c>
      <c r="D27" t="s">
        <v>11</v>
      </c>
      <c r="E27" t="s">
        <v>54</v>
      </c>
      <c r="F27" s="9">
        <f>0.25*C$27</f>
        <v>0.25</v>
      </c>
      <c r="H27" s="9">
        <f>H24</f>
        <v>0.35</v>
      </c>
      <c r="K27" s="31"/>
    </row>
    <row r="28" spans="2:12" x14ac:dyDescent="0.25">
      <c r="B28" t="s">
        <v>1</v>
      </c>
      <c r="C28" s="27">
        <f>C4</f>
        <v>0.2</v>
      </c>
      <c r="D28" t="s">
        <v>11</v>
      </c>
      <c r="E28" t="s">
        <v>55</v>
      </c>
      <c r="F28" s="9">
        <f>C31</f>
        <v>0.1</v>
      </c>
      <c r="H28" s="9">
        <f>H25+C31</f>
        <v>0.1</v>
      </c>
    </row>
    <row r="30" spans="2:12" x14ac:dyDescent="0.25">
      <c r="B30" t="s">
        <v>53</v>
      </c>
      <c r="C30" s="9">
        <f>C31/C25</f>
        <v>6.6666666666666666E-2</v>
      </c>
      <c r="D30" t="s">
        <v>11</v>
      </c>
      <c r="E30" t="s">
        <v>54</v>
      </c>
      <c r="F30" s="9">
        <f>0.25*C$27</f>
        <v>0.25</v>
      </c>
      <c r="H30" s="9">
        <f>IF(C24="Square",F30+C$31,"None")</f>
        <v>0.35</v>
      </c>
    </row>
    <row r="31" spans="2:12" x14ac:dyDescent="0.25">
      <c r="B31" t="s">
        <v>52</v>
      </c>
      <c r="C31" s="9">
        <f>C28/2</f>
        <v>0.1</v>
      </c>
      <c r="D31" t="s">
        <v>11</v>
      </c>
      <c r="E31" t="s">
        <v>55</v>
      </c>
      <c r="F31" s="9">
        <f>C28</f>
        <v>0.2</v>
      </c>
      <c r="H31" s="9">
        <f>IF(C24="Square",F31,"None")</f>
        <v>0.2</v>
      </c>
    </row>
    <row r="33" spans="2:4" x14ac:dyDescent="0.25">
      <c r="B33" t="s">
        <v>57</v>
      </c>
      <c r="C33" s="8">
        <f>C3/C6</f>
        <v>2E-3</v>
      </c>
      <c r="D33" t="s">
        <v>59</v>
      </c>
    </row>
    <row r="34" spans="2:4" x14ac:dyDescent="0.25">
      <c r="B34" t="s">
        <v>58</v>
      </c>
      <c r="C34" s="8">
        <f>C4/C7</f>
        <v>2E-3</v>
      </c>
      <c r="D34" t="s">
        <v>59</v>
      </c>
    </row>
  </sheetData>
  <mergeCells count="1">
    <mergeCell ref="G13:H13"/>
  </mergeCells>
  <conditionalFormatting sqref="K23">
    <cfRule type="cellIs" dxfId="0" priority="1" operator="equal">
      <formula>TRUE</formula>
    </cfRule>
  </conditionalFormatting>
  <dataValidations count="3">
    <dataValidation type="list" allowBlank="1" showInputMessage="1" showErrorMessage="1" sqref="G13:H13">
      <formula1>"solve,solveGS,solveSOR"</formula1>
    </dataValidation>
    <dataValidation type="list" allowBlank="1" showInputMessage="1" showErrorMessage="1" sqref="K13">
      <formula1>"Air,Water"</formula1>
    </dataValidation>
    <dataValidation type="list" allowBlank="1" showInputMessage="1" showErrorMessage="1" sqref="C24">
      <formula1>"Square,Triangular"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Knop 1">
              <controlPr defaultSize="0" print="0" autoFill="0" autoPict="0" macro="[0]!Blad2.Adjust_grid">
                <anchor moveWithCells="1">
                  <from>
                    <xdr:col>3</xdr:col>
                    <xdr:colOff>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Knop 4">
              <controlPr defaultSize="0" print="0" autoFill="0" autoPict="0" macro="[0]!Blad1.convert">
                <anchor moveWithCells="1">
                  <from>
                    <xdr:col>5</xdr:col>
                    <xdr:colOff>428625</xdr:colOff>
                    <xdr:row>7</xdr:row>
                    <xdr:rowOff>0</xdr:rowOff>
                  </from>
                  <to>
                    <xdr:col>8</xdr:col>
                    <xdr:colOff>9525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Selectievakje 5">
              <controlPr defaultSize="0" autoFill="0" autoLine="0" autoPict="0">
                <anchor moveWithCells="1">
                  <from>
                    <xdr:col>2</xdr:col>
                    <xdr:colOff>19050</xdr:colOff>
                    <xdr:row>6</xdr:row>
                    <xdr:rowOff>152400</xdr:rowOff>
                  </from>
                  <to>
                    <xdr:col>4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Knop 9">
              <controlPr defaultSize="0" print="0" autoFill="0" autoPict="0" macro="[0]!apply_pattern">
                <anchor moveWithCells="1">
                  <from>
                    <xdr:col>5</xdr:col>
                    <xdr:colOff>171450</xdr:colOff>
                    <xdr:row>21</xdr:row>
                    <xdr:rowOff>0</xdr:rowOff>
                  </from>
                  <to>
                    <xdr:col>7</xdr:col>
                    <xdr:colOff>133350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Selectievakje 12">
              <controlPr defaultSize="0" autoFill="0" autoLine="0" autoPict="0">
                <anchor moveWithCells="1">
                  <from>
                    <xdr:col>9</xdr:col>
                    <xdr:colOff>95250</xdr:colOff>
                    <xdr:row>22</xdr:row>
                    <xdr:rowOff>0</xdr:rowOff>
                  </from>
                  <to>
                    <xdr:col>9</xdr:col>
                    <xdr:colOff>962025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C7"/>
  <sheetViews>
    <sheetView workbookViewId="0">
      <selection activeCell="E26" sqref="E26"/>
    </sheetView>
  </sheetViews>
  <sheetFormatPr defaultRowHeight="15" x14ac:dyDescent="0.25"/>
  <cols>
    <col min="1" max="1" width="17.7109375" customWidth="1"/>
  </cols>
  <sheetData>
    <row r="1" spans="1:3" ht="18.600000000000001" thickBot="1" x14ac:dyDescent="0.4">
      <c r="A1" s="4" t="s">
        <v>27</v>
      </c>
      <c r="B1" s="5"/>
      <c r="C1" s="5"/>
    </row>
    <row r="3" spans="1:3" ht="14.45" x14ac:dyDescent="0.3">
      <c r="A3" t="s">
        <v>30</v>
      </c>
      <c r="B3" t="s">
        <v>31</v>
      </c>
      <c r="C3" t="s">
        <v>32</v>
      </c>
    </row>
    <row r="4" spans="1:3" ht="14.45" x14ac:dyDescent="0.3">
      <c r="A4" t="s">
        <v>33</v>
      </c>
      <c r="B4">
        <v>1</v>
      </c>
      <c r="C4">
        <v>1000</v>
      </c>
    </row>
    <row r="5" spans="1:3" ht="14.45" x14ac:dyDescent="0.3">
      <c r="A5" t="s">
        <v>34</v>
      </c>
      <c r="B5" s="15">
        <v>2.0000000000000002E-5</v>
      </c>
      <c r="C5" s="15">
        <v>1E-3</v>
      </c>
    </row>
    <row r="6" spans="1:3" ht="14.45" x14ac:dyDescent="0.3">
      <c r="A6" t="s">
        <v>37</v>
      </c>
      <c r="B6">
        <v>1013</v>
      </c>
      <c r="C6">
        <v>4200</v>
      </c>
    </row>
    <row r="7" spans="1:3" ht="14.45" x14ac:dyDescent="0.3">
      <c r="A7" t="s">
        <v>35</v>
      </c>
      <c r="B7">
        <v>2.5000000000000001E-2</v>
      </c>
      <c r="C7">
        <v>0.59099999999999997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Constraints</vt:lpstr>
      <vt:lpstr>Grid settings</vt:lpstr>
      <vt:lpstr>Fluid properties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Student</cp:lastModifiedBy>
  <dcterms:created xsi:type="dcterms:W3CDTF">2018-03-27T12:06:22Z</dcterms:created>
  <dcterms:modified xsi:type="dcterms:W3CDTF">2018-04-16T12:06:28Z</dcterms:modified>
</cp:coreProperties>
</file>