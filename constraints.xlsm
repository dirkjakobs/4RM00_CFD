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0" windowWidth="23040" windowHeight="9060"/>
  </bookViews>
  <sheets>
    <sheet name="Constraints" sheetId="1" r:id="rId1"/>
    <sheet name="Grid settings" sheetId="2" r:id="rId2"/>
    <sheet name="Fluid properties" sheetId="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7" i="2" l="1"/>
  <c r="K16" i="2"/>
  <c r="K15" i="2"/>
  <c r="K14" i="2"/>
</calcChain>
</file>

<file path=xl/sharedStrings.xml><?xml version="1.0" encoding="utf-8"?>
<sst xmlns="http://schemas.openxmlformats.org/spreadsheetml/2006/main" count="54" uniqueCount="45">
  <si>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</si>
  <si>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</si>
  <si>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</si>
  <si>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</si>
  <si>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</si>
  <si>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</si>
  <si>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</si>
  <si>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</si>
  <si>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</si>
  <si>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</si>
  <si>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</si>
  <si>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</si>
  <si>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T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</si>
  <si>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</si>
  <si>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</si>
  <si>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</si>
  <si>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</si>
  <si>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</si>
  <si>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</si>
  <si>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</si>
  <si>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</si>
  <si>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</si>
  <si>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DX / DY</t>
  </si>
  <si>
    <t>Legend</t>
  </si>
  <si>
    <t>only v fixed</t>
  </si>
  <si>
    <t>both u, v fixed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</si>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</sst>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 style="thin">
        <color auto="1"/>
      </diagonal>
    </border>
  </borders>
  <cellStyleXfs count="3">
    <xf numFmtId="0" fontId="0" fillId="0" borderId="0"/>
    <xf numFmtId="0" fontId="3" fillId="6" borderId="3" applyNumberFormat="0" applyAlignment="0" applyProtection="0"/>
    <xf numFmtId="0" fontId="4" fillId="7" borderId="3" applyNumberFormat="0" applyAlignment="0" applyProtection="0"/>
  </cellStyleXfs>
  <cellXfs count="25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3" fillId="6" borderId="3" xfId="1"/>
    <xf numFmtId="0" fontId="4" fillId="7" borderId="3" xfId="2"/>
    <xf numFmtId="2" fontId="3" fillId="6" borderId="3" xfId="1" applyNumberFormat="1"/>
    <xf numFmtId="0" fontId="0" fillId="8" borderId="1" xfId="0" applyFill="1" applyBorder="1"/>
    <xf numFmtId="0" fontId="2" fillId="0" borderId="0" xfId="0" applyFont="1" applyBorder="1"/>
    <xf numFmtId="0" fontId="5" fillId="0" borderId="0" xfId="0" applyFont="1"/>
    <xf numFmtId="0" fontId="0" fillId="9" borderId="1" xfId="0" applyFill="1" applyBorder="1"/>
    <xf numFmtId="0" fontId="0" fillId="0" borderId="4" xfId="0" applyBorder="1"/>
    <xf numFmtId="0" fontId="3" fillId="6" borderId="7" xfId="1" applyBorder="1"/>
    <xf numFmtId="0" fontId="0" fillId="0" borderId="0" xfId="0" applyBorder="1"/>
    <xf numFmtId="0" fontId="3" fillId="6" borderId="3" xfId="1" applyBorder="1"/>
    <xf numFmtId="11" fontId="0" fillId="0" borderId="0" xfId="0" applyNumberFormat="1"/>
    <xf numFmtId="0" fontId="0" fillId="0" borderId="0" xfId="0" applyBorder="1" applyAlignment="1"/>
    <xf numFmtId="0" fontId="3" fillId="6" borderId="3" xfId="1" applyAlignment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3">
    <cellStyle name="Berekening" xfId="2" builtinId="22"/>
    <cellStyle name="Invoer" xfId="1" builtinId="20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7620</xdr:rowOff>
        </xdr:from>
        <xdr:to>
          <xdr:col>4</xdr:col>
          <xdr:colOff>0</xdr:colOff>
          <xdr:row>6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7</xdr:row>
          <xdr:rowOff>0</xdr:rowOff>
        </xdr:from>
        <xdr:to>
          <xdr:col>8</xdr:col>
          <xdr:colOff>7620</xdr:colOff>
          <xdr:row>8</xdr:row>
          <xdr:rowOff>175260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Dirk's magic button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152400</xdr:rowOff>
        </xdr:from>
        <xdr:to>
          <xdr:col>3</xdr:col>
          <xdr:colOff>731520</xdr:colOff>
          <xdr:row>8</xdr:row>
          <xdr:rowOff>22860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V42"/>
  <sheetViews>
    <sheetView tabSelected="1" zoomScale="94" zoomScaleNormal="94" workbookViewId="0">
      <selection activeCell="D30" sqref="D30"/>
    </sheetView>
  </sheetViews>
  <sheetFormatPr defaultRowHeight="14.4" x14ac:dyDescent="0.3"/>
  <cols>
    <col min="1" max="22" width="9.88671875" customWidth="1"/>
  </cols>
  <sheetData>
    <row r="1" spans="1:22" ht="4.95" customHeight="1" x14ac:dyDescent="0.3">
      <c r="A1" s="2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2"/>
    </row>
    <row r="2" spans="1:22" ht="4.95" customHeight="1" x14ac:dyDescent="0.3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2"/>
    </row>
    <row r="3" spans="1:22" ht="4.95" customHeight="1" x14ac:dyDescent="0.3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"/>
    </row>
    <row r="4" spans="1:22" ht="4.95" customHeight="1" x14ac:dyDescent="0.3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2"/>
    </row>
    <row r="5" spans="1:22" ht="4.95" customHeight="1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2"/>
    </row>
    <row r="6" spans="1:22" ht="4.95" customHeight="1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2"/>
    </row>
    <row r="7" spans="1:22" ht="4.95" customHeight="1" x14ac:dyDescent="0.3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2"/>
    </row>
    <row r="8" spans="1:22" ht="4.95" customHeight="1" x14ac:dyDescent="0.3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2"/>
    </row>
    <row r="9" spans="1:22" ht="4.95" customHeight="1" x14ac:dyDescent="0.3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2"/>
    </row>
    <row r="10" spans="1:22" ht="4.95" customHeight="1" x14ac:dyDescent="0.3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2"/>
    </row>
    <row r="11" spans="1:22" ht="4.95" customHeight="1" x14ac:dyDescent="0.3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2"/>
    </row>
    <row r="12" spans="1:22" ht="4.95" customHeight="1" x14ac:dyDescent="0.3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2"/>
    </row>
    <row r="13" spans="1:22" ht="4.95" customHeight="1" x14ac:dyDescent="0.3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2"/>
    </row>
    <row r="14" spans="1:22" ht="4.95" customHeight="1" x14ac:dyDescent="0.3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2"/>
    </row>
    <row r="15" spans="1:22" ht="4.95" customHeight="1" x14ac:dyDescent="0.3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2"/>
    </row>
    <row r="16" spans="1:22" ht="4.95" customHeight="1" x14ac:dyDescent="0.3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2"/>
    </row>
    <row r="17" spans="1:22" ht="4.95" customHeight="1" x14ac:dyDescent="0.3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2"/>
    </row>
    <row r="18" spans="1:22" ht="4.95" customHeight="1" x14ac:dyDescent="0.3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2"/>
    </row>
    <row r="19" spans="1:22" ht="4.95" customHeight="1" x14ac:dyDescent="0.3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2"/>
    </row>
    <row r="20" spans="1:22" ht="4.95" customHeight="1" x14ac:dyDescent="0.3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"/>
    </row>
    <row r="21" spans="1:22" ht="4.95" customHeight="1" x14ac:dyDescent="0.3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"/>
    </row>
    <row r="22" spans="1:22" ht="4.95" customHeight="1" x14ac:dyDescent="0.3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"/>
    </row>
    <row r="23" spans="1:22" ht="4.95" customHeight="1" x14ac:dyDescent="0.3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"/>
    </row>
    <row r="24" spans="1:22" ht="4.95" customHeight="1" x14ac:dyDescent="0.3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"/>
    </row>
    <row r="25" spans="1:22" ht="4.95" customHeight="1" x14ac:dyDescent="0.3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"/>
    </row>
    <row r="26" spans="1:22" ht="4.95" customHeight="1" x14ac:dyDescent="0.3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"/>
    </row>
    <row r="27" spans="1:22" ht="4.95" customHeight="1" x14ac:dyDescent="0.3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"/>
    </row>
    <row r="28" spans="1:22" ht="4.95" customHeight="1" x14ac:dyDescent="0.3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"/>
    </row>
    <row r="29" spans="1:22" ht="4.95" customHeight="1" x14ac:dyDescent="0.3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"/>
    </row>
    <row r="30" spans="1:22" ht="4.95" customHeight="1" x14ac:dyDescent="0.3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"/>
    </row>
    <row r="31" spans="1:22" ht="4.95" customHeight="1" x14ac:dyDescent="0.3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"/>
    </row>
    <row r="32" spans="1:22" ht="4.95" customHeight="1" x14ac:dyDescent="0.3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"/>
    </row>
    <row r="33" spans="1:22" ht="4.95" customHeight="1" x14ac:dyDescent="0.3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"/>
    </row>
    <row r="34" spans="1:22" ht="4.95" customHeight="1" x14ac:dyDescent="0.3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"/>
    </row>
    <row r="35" spans="1:22" ht="4.95" customHeight="1" x14ac:dyDescent="0.3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"/>
    </row>
    <row r="36" spans="1:22" ht="4.95" customHeight="1" x14ac:dyDescent="0.3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"/>
    </row>
    <row r="37" spans="1:22" ht="4.95" customHeight="1" x14ac:dyDescent="0.3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"/>
    </row>
    <row r="38" spans="1:22" ht="4.95" customHeight="1" x14ac:dyDescent="0.3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"/>
    </row>
    <row r="39" spans="1:22" ht="4.95" customHeight="1" x14ac:dyDescent="0.3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"/>
    </row>
    <row r="40" spans="1:22" ht="4.95" customHeight="1" x14ac:dyDescent="0.3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"/>
    </row>
    <row r="41" spans="1:22" ht="4.95" customHeight="1" x14ac:dyDescent="0.3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"/>
    </row>
    <row r="42" spans="1:22" ht="4.95" customHeight="1" x14ac:dyDescent="0.3">
      <c r="A42" s="2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19"/>
  <sheetViews>
    <sheetView workbookViewId="0">
      <selection activeCell="G16" sqref="G16"/>
    </sheetView>
  </sheetViews>
  <sheetFormatPr defaultRowHeight="14.4" x14ac:dyDescent="0.3"/>
  <cols>
    <col min="1" max="1" width="8.88671875" customWidth="1"/>
    <col min="2" max="2" width="10.33203125" customWidth="1"/>
    <col min="4" max="4" width="10.88671875" customWidth="1"/>
    <col min="10" max="10" width="18" customWidth="1"/>
  </cols>
  <sheetData>
    <row r="1" spans="2:13" ht="18.600000000000001" thickBot="1" x14ac:dyDescent="0.4">
      <c r="B1" s="4" t="s">
        <v>4</v>
      </c>
      <c r="C1" s="5"/>
      <c r="D1" s="6"/>
      <c r="F1" s="4" t="s">
        <v>10</v>
      </c>
      <c r="G1" s="6"/>
      <c r="H1" s="6"/>
      <c r="J1" s="13" t="s">
        <v>23</v>
      </c>
      <c r="K1" s="6"/>
      <c r="L1" s="6"/>
    </row>
    <row r="2" spans="2:13" ht="14.4" customHeight="1" x14ac:dyDescent="0.3">
      <c r="J2" s="7"/>
      <c r="K2" t="s">
        <v>25</v>
      </c>
      <c r="M2">
        <v>0</v>
      </c>
    </row>
    <row r="3" spans="2:13" x14ac:dyDescent="0.3">
      <c r="B3" t="s">
        <v>0</v>
      </c>
      <c r="C3" s="11">
        <v>10</v>
      </c>
      <c r="D3" t="s">
        <v>11</v>
      </c>
      <c r="F3" t="s">
        <v>12</v>
      </c>
      <c r="G3" s="9">
        <v>320</v>
      </c>
      <c r="H3" t="s">
        <v>13</v>
      </c>
      <c r="J3" s="15"/>
      <c r="K3" t="s">
        <v>24</v>
      </c>
      <c r="M3">
        <v>10</v>
      </c>
    </row>
    <row r="4" spans="2:13" x14ac:dyDescent="0.3">
      <c r="B4" t="s">
        <v>1</v>
      </c>
      <c r="C4" s="11">
        <v>0.2</v>
      </c>
      <c r="D4" t="s">
        <v>11</v>
      </c>
      <c r="F4" t="s">
        <v>33</v>
      </c>
      <c r="G4" s="9">
        <v>1</v>
      </c>
      <c r="H4" t="s">
        <v>14</v>
      </c>
      <c r="J4" s="3"/>
      <c r="K4" t="s">
        <v>26</v>
      </c>
      <c r="M4">
        <v>44</v>
      </c>
    </row>
    <row r="5" spans="2:13" x14ac:dyDescent="0.3">
      <c r="B5" s="16" t="s">
        <v>22</v>
      </c>
      <c r="C5" s="17">
        <v>5.0000000000000001E-3</v>
      </c>
      <c r="D5" s="16" t="s">
        <v>11</v>
      </c>
      <c r="J5" s="8"/>
      <c r="K5" t="s">
        <v>27</v>
      </c>
      <c r="M5">
        <v>42</v>
      </c>
    </row>
    <row r="6" spans="2:13" x14ac:dyDescent="0.3">
      <c r="B6" t="s">
        <v>2</v>
      </c>
      <c r="C6" s="10">
        <v>20</v>
      </c>
      <c r="J6" s="12"/>
      <c r="K6" t="s">
        <v>28</v>
      </c>
      <c r="M6">
        <v>41</v>
      </c>
    </row>
    <row r="7" spans="2:13" x14ac:dyDescent="0.3">
      <c r="B7" t="s">
        <v>3</v>
      </c>
      <c r="C7" s="10">
        <v>40</v>
      </c>
    </row>
    <row r="8" spans="2:13" x14ac:dyDescent="0.3">
      <c r="C8" s="14" t="b">
        <v>0</v>
      </c>
    </row>
    <row r="11" spans="2:13" ht="18.600000000000001" thickBot="1" x14ac:dyDescent="0.4">
      <c r="B11" s="4" t="s">
        <v>20</v>
      </c>
      <c r="C11" s="6"/>
      <c r="D11" s="6"/>
      <c r="F11" s="4" t="s">
        <v>32</v>
      </c>
      <c r="G11" s="6"/>
      <c r="H11" s="6"/>
      <c r="J11" s="4" t="s">
        <v>31</v>
      </c>
      <c r="K11" s="6"/>
      <c r="L11" s="6"/>
    </row>
    <row r="13" spans="2:13" x14ac:dyDescent="0.3">
      <c r="B13" t="s">
        <v>9</v>
      </c>
      <c r="C13" s="9">
        <v>100</v>
      </c>
      <c r="F13" s="16" t="s">
        <v>7</v>
      </c>
      <c r="G13" s="23" t="s">
        <v>8</v>
      </c>
      <c r="H13" s="24"/>
      <c r="J13" t="s">
        <v>34</v>
      </c>
      <c r="K13" s="22" t="s">
        <v>35</v>
      </c>
      <c r="L13" s="21"/>
    </row>
    <row r="14" spans="2:13" x14ac:dyDescent="0.3">
      <c r="B14" t="s">
        <v>15</v>
      </c>
      <c r="C14" s="9">
        <v>1</v>
      </c>
      <c r="F14" s="16" t="s">
        <v>29</v>
      </c>
      <c r="G14" s="17">
        <v>0.1</v>
      </c>
      <c r="H14" s="16"/>
      <c r="J14" t="s">
        <v>37</v>
      </c>
      <c r="K14" s="20">
        <f>INDEX('Fluid properties'!$A$4:$R$15,1,MATCH($K$13,'Fluid properties'!$3:$3))</f>
        <v>1</v>
      </c>
      <c r="L14" t="s">
        <v>42</v>
      </c>
    </row>
    <row r="15" spans="2:13" x14ac:dyDescent="0.3">
      <c r="B15" t="s">
        <v>16</v>
      </c>
      <c r="C15" s="9">
        <v>1</v>
      </c>
      <c r="J15" t="s">
        <v>38</v>
      </c>
      <c r="K15" s="20">
        <f>INDEX('Fluid properties'!$A$4:$R$15,2,MATCH($K$13,'Fluid properties'!$3:$3))</f>
        <v>2.0000000000000002E-5</v>
      </c>
      <c r="L15" t="s">
        <v>43</v>
      </c>
    </row>
    <row r="16" spans="2:13" x14ac:dyDescent="0.3">
      <c r="B16" t="s">
        <v>17</v>
      </c>
      <c r="C16" s="9">
        <v>30</v>
      </c>
      <c r="F16" t="s">
        <v>5</v>
      </c>
      <c r="G16" s="9">
        <v>0.8</v>
      </c>
      <c r="J16" t="s">
        <v>41</v>
      </c>
      <c r="K16">
        <f>INDEX('Fluid properties'!$A$4:$R$15,3,MATCH($K$13,'Fluid properties'!$3:$3))</f>
        <v>1013</v>
      </c>
      <c r="L16" t="s">
        <v>40</v>
      </c>
    </row>
    <row r="17" spans="2:12" x14ac:dyDescent="0.3">
      <c r="B17" t="s">
        <v>21</v>
      </c>
      <c r="C17" s="9">
        <v>1</v>
      </c>
      <c r="F17" t="s">
        <v>6</v>
      </c>
      <c r="G17" s="9">
        <v>1</v>
      </c>
      <c r="J17" t="s">
        <v>39</v>
      </c>
      <c r="K17">
        <f>INDEX('Fluid properties'!$A$4:$R$15,4,MATCH($K$13,'Fluid properties'!$3:$3))</f>
        <v>2.5000000000000001E-2</v>
      </c>
      <c r="L17" t="s">
        <v>44</v>
      </c>
    </row>
    <row r="18" spans="2:12" x14ac:dyDescent="0.3">
      <c r="B18" t="s">
        <v>18</v>
      </c>
      <c r="C18" s="9">
        <v>1</v>
      </c>
    </row>
    <row r="19" spans="2:12" x14ac:dyDescent="0.3">
      <c r="B19" t="s">
        <v>19</v>
      </c>
      <c r="C19" s="9">
        <v>1</v>
      </c>
      <c r="F19" s="18" t="s">
        <v>30</v>
      </c>
      <c r="G19" s="19">
        <v>0.1</v>
      </c>
      <c r="H19" s="18"/>
    </row>
  </sheetData>
  <mergeCells count="1">
    <mergeCell ref="G13:H13"/>
  </mergeCells>
  <dataValidations count="2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7620</xdr:rowOff>
                  </from>
                  <to>
                    <xdr:col>3</xdr:col>
                    <xdr:colOff>746760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426720</xdr:colOff>
                    <xdr:row>7</xdr:row>
                    <xdr:rowOff>0</xdr:rowOff>
                  </from>
                  <to>
                    <xdr:col>8</xdr:col>
                    <xdr:colOff>7620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22860</xdr:colOff>
                    <xdr:row>6</xdr:row>
                    <xdr:rowOff>152400</xdr:rowOff>
                  </from>
                  <to>
                    <xdr:col>3</xdr:col>
                    <xdr:colOff>731520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D2" sqref="D2"/>
    </sheetView>
  </sheetViews>
  <sheetFormatPr defaultRowHeight="14.4" x14ac:dyDescent="0.3"/>
  <cols>
    <col min="1" max="1" width="17.6640625" customWidth="1"/>
  </cols>
  <sheetData>
    <row r="1" spans="1:3" ht="18.600000000000001" thickBot="1" x14ac:dyDescent="0.4">
      <c r="A1" s="4" t="s">
        <v>31</v>
      </c>
      <c r="B1" s="6"/>
      <c r="C1" s="6"/>
    </row>
    <row r="3" spans="1:3" x14ac:dyDescent="0.3">
      <c r="A3" t="s">
        <v>34</v>
      </c>
      <c r="B3" t="s">
        <v>35</v>
      </c>
      <c r="C3" t="s">
        <v>36</v>
      </c>
    </row>
    <row r="4" spans="1:3" x14ac:dyDescent="0.3">
      <c r="A4" t="s">
        <v>37</v>
      </c>
      <c r="B4">
        <v>1</v>
      </c>
      <c r="C4">
        <v>1000</v>
      </c>
    </row>
    <row r="5" spans="1:3" x14ac:dyDescent="0.3">
      <c r="A5" t="s">
        <v>38</v>
      </c>
      <c r="B5" s="20">
        <v>2.0000000000000002E-5</v>
      </c>
      <c r="C5" s="20">
        <v>1E-3</v>
      </c>
    </row>
    <row r="6" spans="1:3" x14ac:dyDescent="0.3">
      <c r="A6" t="s">
        <v>41</v>
      </c>
      <c r="B6">
        <v>1013</v>
      </c>
      <c r="C6">
        <v>4200</v>
      </c>
    </row>
    <row r="7" spans="1:3" x14ac:dyDescent="0.3">
      <c r="A7" t="s">
        <v>39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2018-04-09T18:44:07Z</dcterms:modified>
</cp:coreProperties>
</file>