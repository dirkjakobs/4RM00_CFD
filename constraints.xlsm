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. Jakobs\Documents\Git\4RM00_CFD\"/>
    </mc:Choice>
  </mc:AlternateContent>
  <bookViews>
    <workbookView xWindow="0" yWindow="60" windowWidth="11928" windowHeight="10068" activeTab="1"/>
  </bookViews>
  <sheets>
    <sheet name="Constraints" sheetId="1" r:id="rId1"/>
    <sheet name="Grid settings" sheetId="2" r:id="rId2"/>
    <sheet name="Fluid properties" sheetId="3" r:id="rId3"/>
  </sheets>
  <calcPr calcId="171027"/>
</workbook>
</file>

<file path=xl/calcChain.xml><?xml version="1.0" encoding="utf-8"?>
<calcChain xmlns="http://schemas.openxmlformats.org/spreadsheetml/2006/main">
  <c r="K24" i="2" l="1"/>
  <c r="K25" i="2" l="1"/>
  <c r="C34" i="2" l="1"/>
  <c r="C33" i="2"/>
  <c r="C28" i="2"/>
  <c r="C31" i="2" s="1"/>
  <c r="F28" i="2" s="1"/>
  <c r="C27" i="2"/>
  <c r="F30" i="2" l="1"/>
  <c r="F24" i="2"/>
  <c r="H24" i="2" s="1"/>
  <c r="F27" i="2"/>
  <c r="F31" i="2"/>
  <c r="H31" i="2" s="1"/>
  <c r="H25" i="2"/>
  <c r="C5" i="2" l="1"/>
  <c r="K17" i="2" l="1"/>
  <c r="K16" i="2"/>
  <c r="K15" i="2"/>
  <c r="K14" i="2"/>
  <c r="H30" i="2"/>
  <c r="H28" i="2"/>
  <c r="C30" i="2"/>
  <c r="H27" i="2" l="1"/>
</calcChain>
</file>

<file path=xl/sharedStrings.xml><?xml version="1.0" encoding="utf-8"?>
<sst xmlns="http://schemas.openxmlformats.org/spreadsheetml/2006/main" count="89" uniqueCount="65">
  <si>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</si>
  <si>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</si>
  <si>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</si>
  <si>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</si>
  <si>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</si>
  <si>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</si>
  <si>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</si>
  <si>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</si>
  <si>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</si>
  <si>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</si>
  <si>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</si>
  <si>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</si>
  <si>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</si>
  <si>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</si>
  <si>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</si>
  <si>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</si>
  <si>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</si>
  <si>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</si>
  <si>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</si>
  <si>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</si>
  <si>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</si>
  <si>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Legend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</si>
  <si>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</si>
  <si>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</si>
  <si>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</si>
  <si>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</si>
  <si>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</si>
  <si>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</si>
  <si>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</si>
  <si>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</si>
  <si>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</si>
  <si>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</si>
  <si>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</si>
  <si>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</si>
  <si>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</si>
  <si>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</si>
  <si>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</si>
  <si>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</si>
  <si>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</si>
  <si>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</si>
  <si>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</si>
  <si>
    <t>NPJ / NPI</t>
  </si>
  <si>
    <t>both u, v fixed, adiabatic</t>
  </si>
  <si>
    <t>both u, v fixed, T is T</t>
  </si>
  <si>
    <t>T0</t>
  </si>
  <si>
    <t>T objects</t>
  </si>
  <si>
    <t>Full slip wall</t>
  </si>
  <si>
    <t xml:space="preserve"> </t>
  </si>
  <si>
    <t>HE Layout</t>
  </si>
  <si>
    <t>Row 1</t>
  </si>
  <si>
    <t>Layout</t>
  </si>
  <si>
    <t>Row 2</t>
  </si>
  <si>
    <t>pitch</t>
  </si>
  <si>
    <t>tube diam (D)</t>
  </si>
  <si>
    <t>x</t>
  </si>
  <si>
    <t>y</t>
  </si>
  <si>
    <t>*D</t>
  </si>
  <si>
    <t>DX</t>
  </si>
  <si>
    <t>DY</t>
  </si>
  <si>
    <t>[m / cell]</t>
  </si>
  <si>
    <t>Max time</t>
  </si>
  <si>
    <t>Debug</t>
  </si>
  <si>
    <t>Quarant kental</t>
  </si>
  <si>
    <t>Triangular</t>
  </si>
  <si>
    <t>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</si>
</sst>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color rgb="FF1F497D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1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</borders>
  <cellStyleXfs count="3">
    <xf numFmtId="0" fontId="0" fillId="0" borderId="0"/>
    <xf numFmtId="0" fontId="2" fillId="6" borderId="3" applyNumberFormat="0" applyAlignment="0" applyProtection="0"/>
    <xf numFmtId="0" fontId="3" fillId="7" borderId="3" applyNumberFormat="0" applyAlignment="0" applyProtection="0"/>
  </cellStyleXfs>
  <cellXfs count="34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1" fillId="0" borderId="2" xfId="0" applyFon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2" fillId="6" borderId="3" xfId="1"/>
    <xf numFmtId="0" fontId="3" fillId="7" borderId="3" xfId="2"/>
    <xf numFmtId="2" fontId="2" fillId="6" borderId="3" xfId="1" applyNumberFormat="1"/>
    <xf numFmtId="0" fontId="0" fillId="8" borderId="1" xfId="0" applyFill="1" applyBorder="1"/>
    <xf numFmtId="0" fontId="1" fillId="0" borderId="0" xfId="0" applyFont="1" applyBorder="1"/>
    <xf numFmtId="0" fontId="0" fillId="9" borderId="1" xfId="0" applyFill="1" applyBorder="1"/>
    <xf numFmtId="0" fontId="0" fillId="0" borderId="0" xfId="0" applyBorder="1"/>
    <xf numFmtId="11" fontId="0" fillId="0" borderId="0" xfId="0" applyNumberFormat="1"/>
    <xf numFmtId="0" fontId="0" fillId="0" borderId="0" xfId="0" applyBorder="1" applyAlignment="1"/>
    <xf numFmtId="0" fontId="2" fillId="6" borderId="3" xfId="1" applyAlignment="1"/>
    <xf numFmtId="0" fontId="0" fillId="10" borderId="1" xfId="0" applyFill="1" applyBorder="1"/>
    <xf numFmtId="2" fontId="0" fillId="0" borderId="2" xfId="0" applyNumberFormat="1" applyFill="1" applyBorder="1"/>
    <xf numFmtId="0" fontId="0" fillId="0" borderId="2" xfId="0" applyFill="1" applyBorder="1"/>
    <xf numFmtId="0" fontId="0" fillId="0" borderId="0" xfId="0" applyFill="1"/>
    <xf numFmtId="0" fontId="1" fillId="0" borderId="2" xfId="0" applyFont="1" applyFill="1" applyBorder="1"/>
    <xf numFmtId="0" fontId="0" fillId="0" borderId="0" xfId="0" applyFill="1" applyBorder="1"/>
    <xf numFmtId="0" fontId="4" fillId="0" borderId="0" xfId="0" applyFont="1" applyFill="1"/>
    <xf numFmtId="0" fontId="0" fillId="0" borderId="4" xfId="0" applyFill="1" applyBorder="1"/>
    <xf numFmtId="0" fontId="3" fillId="0" borderId="0" xfId="2" applyFill="1" applyBorder="1"/>
    <xf numFmtId="2" fontId="3" fillId="7" borderId="3" xfId="2" applyNumberFormat="1"/>
    <xf numFmtId="0" fontId="0" fillId="12" borderId="1" xfId="0" applyFill="1" applyBorder="1"/>
    <xf numFmtId="0" fontId="7" fillId="0" borderId="0" xfId="0" applyFont="1"/>
    <xf numFmtId="164" fontId="2" fillId="6" borderId="3" xfId="1" applyNumberFormat="1"/>
    <xf numFmtId="0" fontId="0" fillId="11" borderId="1" xfId="0" applyFill="1" applyBorder="1"/>
    <xf numFmtId="2" fontId="0" fillId="11" borderId="1" xfId="0" applyNumberFormat="1" applyFill="1" applyBorder="1"/>
    <xf numFmtId="0" fontId="2" fillId="6" borderId="3" xfId="1" applyAlignment="1">
      <alignment horizontal="center"/>
    </xf>
  </cellXfs>
  <cellStyles count="3">
    <cellStyle name="Berekening" xfId="2" builtinId="22"/>
    <cellStyle name="Invoer" xfId="1" builtinId="20"/>
    <cellStyle name="Standaard" xfId="0" builtinId="0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C8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K$2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7620</xdr:rowOff>
        </xdr:from>
        <xdr:to>
          <xdr:col>4</xdr:col>
          <xdr:colOff>0</xdr:colOff>
          <xdr:row>6</xdr:row>
          <xdr:rowOff>175260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426720</xdr:colOff>
          <xdr:row>7</xdr:row>
          <xdr:rowOff>0</xdr:rowOff>
        </xdr:from>
        <xdr:to>
          <xdr:col>8</xdr:col>
          <xdr:colOff>7620</xdr:colOff>
          <xdr:row>8</xdr:row>
          <xdr:rowOff>175260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Drop atomic bomb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152400</xdr:rowOff>
        </xdr:from>
        <xdr:to>
          <xdr:col>4</xdr:col>
          <xdr:colOff>0</xdr:colOff>
          <xdr:row>8</xdr:row>
          <xdr:rowOff>22860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21</xdr:row>
          <xdr:rowOff>0</xdr:rowOff>
        </xdr:from>
        <xdr:to>
          <xdr:col>7</xdr:col>
          <xdr:colOff>137160</xdr:colOff>
          <xdr:row>22</xdr:row>
          <xdr:rowOff>0</xdr:rowOff>
        </xdr:to>
        <xdr:sp macro="" textlink="">
          <xdr:nvSpPr>
            <xdr:cNvPr id="2057" name="Knop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pattern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99060</xdr:colOff>
          <xdr:row>22</xdr:row>
          <xdr:rowOff>0</xdr:rowOff>
        </xdr:from>
        <xdr:to>
          <xdr:col>9</xdr:col>
          <xdr:colOff>960120</xdr:colOff>
          <xdr:row>23</xdr:row>
          <xdr:rowOff>22860</xdr:rowOff>
        </xdr:to>
        <xdr:sp macro="" textlink="">
          <xdr:nvSpPr>
            <xdr:cNvPr id="2060" name="Selectievakje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TURN OFF YPLUS 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IH62"/>
  <sheetViews>
    <sheetView zoomScale="57" zoomScaleNormal="57" workbookViewId="0">
      <selection activeCell="BN70" sqref="BN70"/>
    </sheetView>
  </sheetViews>
  <sheetFormatPr defaultRowHeight="14.4" x14ac:dyDescent="0.3"/>
  <cols>
    <col min="1" max="242" width="1.44140625" customWidth="1"/>
  </cols>
  <sheetData>
    <row r="1" spans="1:242" ht="4.95" customHeight="1" x14ac:dyDescent="0.3">
      <c r="A1" s="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  <c r="FZ1" s="13"/>
      <c r="GA1" s="13"/>
      <c r="GB1" s="13"/>
      <c r="GC1" s="13"/>
      <c r="GD1" s="13"/>
      <c r="GE1" s="13"/>
      <c r="GF1" s="13"/>
      <c r="GG1" s="13"/>
      <c r="GH1" s="13"/>
      <c r="GI1" s="13"/>
      <c r="GJ1" s="13"/>
      <c r="GK1" s="13"/>
      <c r="GL1" s="13"/>
      <c r="GM1" s="13"/>
      <c r="GN1" s="13"/>
      <c r="GO1" s="13"/>
      <c r="GP1" s="13"/>
      <c r="GQ1" s="13"/>
      <c r="GR1" s="13"/>
      <c r="GS1" s="13"/>
      <c r="GT1" s="13"/>
      <c r="GU1" s="13"/>
      <c r="GV1" s="13"/>
      <c r="GW1" s="13"/>
      <c r="GX1" s="13"/>
      <c r="GY1" s="13"/>
      <c r="GZ1" s="13"/>
      <c r="HA1" s="13"/>
      <c r="HB1" s="13"/>
      <c r="HC1" s="13"/>
      <c r="HD1" s="13"/>
      <c r="HE1" s="13"/>
      <c r="HF1" s="13"/>
      <c r="HG1" s="13"/>
      <c r="HH1" s="13"/>
      <c r="HI1" s="13"/>
      <c r="HJ1" s="13"/>
      <c r="HK1" s="13"/>
      <c r="HL1" s="13"/>
      <c r="HM1" s="13"/>
      <c r="HN1" s="13"/>
      <c r="HO1" s="13"/>
      <c r="HP1" s="13"/>
      <c r="HQ1" s="13"/>
      <c r="HR1" s="13"/>
      <c r="HS1" s="13"/>
      <c r="HT1" s="13"/>
      <c r="HU1" s="13"/>
      <c r="HV1" s="13"/>
      <c r="HW1" s="13"/>
      <c r="HX1" s="13"/>
      <c r="HY1" s="13"/>
      <c r="HZ1" s="13"/>
      <c r="IA1" s="13"/>
      <c r="IB1" s="13"/>
      <c r="IC1" s="13"/>
      <c r="ID1" s="13"/>
      <c r="IE1" s="13"/>
      <c r="IF1" s="13"/>
      <c r="IG1" s="13"/>
      <c r="IH1" s="2"/>
    </row>
    <row r="2" spans="1:242" ht="4.95" customHeight="1" x14ac:dyDescent="0.3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 t="s">
        <v>47</v>
      </c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28"/>
      <c r="AU2" s="28"/>
      <c r="AV2" s="28"/>
      <c r="AW2" s="28"/>
      <c r="AX2" s="28"/>
      <c r="AY2" s="28"/>
      <c r="AZ2" s="28"/>
      <c r="BA2" s="28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 t="s">
        <v>47</v>
      </c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 t="s">
        <v>47</v>
      </c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 t="s">
        <v>47</v>
      </c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2"/>
    </row>
    <row r="3" spans="1:242" ht="4.95" customHeight="1" x14ac:dyDescent="0.3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8"/>
      <c r="AU3" s="28"/>
      <c r="AV3" s="28"/>
      <c r="AW3" s="28"/>
      <c r="AX3" s="28"/>
      <c r="AY3" s="28"/>
      <c r="AZ3" s="28"/>
      <c r="BA3" s="28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2"/>
    </row>
    <row r="4" spans="1:242" ht="4.95" customHeight="1" x14ac:dyDescent="0.3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28"/>
      <c r="AU4" s="28"/>
      <c r="AV4" s="28"/>
      <c r="AW4" s="28"/>
      <c r="AX4" s="28"/>
      <c r="AY4" s="28"/>
      <c r="AZ4" s="28"/>
      <c r="BA4" s="28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2"/>
    </row>
    <row r="5" spans="1:242" ht="4.95" customHeight="1" x14ac:dyDescent="0.3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28"/>
      <c r="AU5" s="28"/>
      <c r="AV5" s="28"/>
      <c r="AW5" s="28"/>
      <c r="AX5" s="28"/>
      <c r="AY5" s="28"/>
      <c r="AZ5" s="28"/>
      <c r="BA5" s="28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2"/>
    </row>
    <row r="6" spans="1:242" ht="4.95" customHeight="1" x14ac:dyDescent="0.3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28"/>
      <c r="AV6" s="28"/>
      <c r="AW6" s="28"/>
      <c r="AX6" s="28"/>
      <c r="AY6" s="28"/>
      <c r="AZ6" s="28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2"/>
    </row>
    <row r="7" spans="1:242" ht="4.95" customHeight="1" x14ac:dyDescent="0.3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28"/>
      <c r="AV7" s="28"/>
      <c r="AW7" s="28"/>
      <c r="AX7" s="28"/>
      <c r="AY7" s="28"/>
      <c r="AZ7" s="28"/>
      <c r="BA7" s="1"/>
      <c r="BB7" s="1"/>
      <c r="BC7" s="1"/>
      <c r="BD7" s="1"/>
      <c r="BE7" s="1"/>
      <c r="BF7" s="1"/>
      <c r="BG7" s="28"/>
      <c r="BH7" s="28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2"/>
    </row>
    <row r="8" spans="1:242" ht="4.95" customHeight="1" x14ac:dyDescent="0.3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28"/>
      <c r="AV8" s="28"/>
      <c r="AW8" s="28"/>
      <c r="AX8" s="28"/>
      <c r="AY8" s="28"/>
      <c r="AZ8" s="28"/>
      <c r="BA8" s="1"/>
      <c r="BB8" s="1"/>
      <c r="BC8" s="1"/>
      <c r="BD8" s="1"/>
      <c r="BE8" s="1"/>
      <c r="BF8" s="28"/>
      <c r="BG8" s="28"/>
      <c r="BH8" s="28"/>
      <c r="BI8" s="28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2"/>
    </row>
    <row r="9" spans="1:242" ht="4.95" customHeight="1" x14ac:dyDescent="0.3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28"/>
      <c r="AW9" s="28"/>
      <c r="AX9" s="28"/>
      <c r="AY9" s="28"/>
      <c r="AZ9" s="1"/>
      <c r="BA9" s="1"/>
      <c r="BB9" s="1"/>
      <c r="BC9" s="1"/>
      <c r="BD9" s="1"/>
      <c r="BE9" s="1"/>
      <c r="BF9" s="28"/>
      <c r="BG9" s="28"/>
      <c r="BH9" s="28"/>
      <c r="BI9" s="28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2"/>
    </row>
    <row r="10" spans="1:242" ht="4.95" customHeight="1" x14ac:dyDescent="0.3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28"/>
      <c r="AW10" s="28"/>
      <c r="AX10" s="28"/>
      <c r="AY10" s="28"/>
      <c r="AZ10" s="1"/>
      <c r="BA10" s="1"/>
      <c r="BB10" s="1"/>
      <c r="BC10" s="1"/>
      <c r="BD10" s="1"/>
      <c r="BE10" s="28"/>
      <c r="BF10" s="28"/>
      <c r="BG10" s="28"/>
      <c r="BH10" s="28"/>
      <c r="BI10" s="28"/>
      <c r="BJ10" s="28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2"/>
    </row>
    <row r="11" spans="1:242" ht="4.95" customHeight="1" x14ac:dyDescent="0.3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28"/>
      <c r="AX11" s="28"/>
      <c r="AY11" s="1"/>
      <c r="AZ11" s="1"/>
      <c r="BA11" s="1"/>
      <c r="BB11" s="1"/>
      <c r="BC11" s="1"/>
      <c r="BD11" s="1"/>
      <c r="BE11" s="28"/>
      <c r="BF11" s="28"/>
      <c r="BG11" s="28"/>
      <c r="BH11" s="28"/>
      <c r="BI11" s="28"/>
      <c r="BJ11" s="28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2"/>
    </row>
    <row r="12" spans="1:242" ht="4.95" customHeight="1" x14ac:dyDescent="0.3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28"/>
      <c r="BF12" s="28"/>
      <c r="BG12" s="28"/>
      <c r="BH12" s="28"/>
      <c r="BI12" s="28"/>
      <c r="BJ12" s="28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2"/>
    </row>
    <row r="13" spans="1:242" ht="4.95" customHeight="1" x14ac:dyDescent="0.3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28"/>
      <c r="BE13" s="28"/>
      <c r="BF13" s="28"/>
      <c r="BG13" s="28"/>
      <c r="BH13" s="28"/>
      <c r="BI13" s="28"/>
      <c r="BJ13" s="28"/>
      <c r="BK13" s="28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2"/>
    </row>
    <row r="14" spans="1:242" ht="4.95" customHeight="1" x14ac:dyDescent="0.3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28"/>
      <c r="BE14" s="28"/>
      <c r="BF14" s="28"/>
      <c r="BG14" s="28"/>
      <c r="BH14" s="28"/>
      <c r="BI14" s="28"/>
      <c r="BJ14" s="28"/>
      <c r="BK14" s="28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2"/>
    </row>
    <row r="15" spans="1:242" ht="4.95" customHeight="1" x14ac:dyDescent="0.3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28"/>
      <c r="BE15" s="28"/>
      <c r="BF15" s="28"/>
      <c r="BG15" s="28"/>
      <c r="BH15" s="28"/>
      <c r="BI15" s="28"/>
      <c r="BJ15" s="28"/>
      <c r="BK15" s="28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2"/>
    </row>
    <row r="16" spans="1:242" ht="4.95" customHeight="1" x14ac:dyDescent="0.3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28"/>
      <c r="BE16" s="28"/>
      <c r="BF16" s="28"/>
      <c r="BG16" s="28"/>
      <c r="BH16" s="28"/>
      <c r="BI16" s="28"/>
      <c r="BJ16" s="28"/>
      <c r="BK16" s="28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2"/>
    </row>
    <row r="17" spans="1:242" ht="4.95" customHeight="1" x14ac:dyDescent="0.3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28"/>
      <c r="BE17" s="28"/>
      <c r="BF17" s="28"/>
      <c r="BG17" s="28"/>
      <c r="BH17" s="28"/>
      <c r="BI17" s="28"/>
      <c r="BJ17" s="28"/>
      <c r="BK17" s="28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2"/>
    </row>
    <row r="18" spans="1:242" ht="4.95" customHeight="1" x14ac:dyDescent="0.3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28"/>
      <c r="BE18" s="28"/>
      <c r="BF18" s="28"/>
      <c r="BG18" s="28"/>
      <c r="BH18" s="28"/>
      <c r="BI18" s="28"/>
      <c r="BJ18" s="28"/>
      <c r="BK18" s="28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2"/>
    </row>
    <row r="19" spans="1:242" ht="4.95" customHeight="1" x14ac:dyDescent="0.3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28"/>
      <c r="BE19" s="28"/>
      <c r="BF19" s="28"/>
      <c r="BG19" s="28"/>
      <c r="BH19" s="28"/>
      <c r="BI19" s="28"/>
      <c r="BJ19" s="28"/>
      <c r="BK19" s="28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2"/>
    </row>
    <row r="20" spans="1:242" ht="4.95" customHeight="1" x14ac:dyDescent="0.3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28"/>
      <c r="BE20" s="28"/>
      <c r="BF20" s="28"/>
      <c r="BG20" s="28"/>
      <c r="BH20" s="28"/>
      <c r="BI20" s="28"/>
      <c r="BJ20" s="28"/>
      <c r="BK20" s="28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2"/>
    </row>
    <row r="21" spans="1:242" ht="4.95" customHeight="1" x14ac:dyDescent="0.3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28"/>
      <c r="BF21" s="28"/>
      <c r="BG21" s="28"/>
      <c r="BH21" s="28"/>
      <c r="BI21" s="28"/>
      <c r="BJ21" s="28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2"/>
    </row>
    <row r="22" spans="1:242" ht="4.95" customHeight="1" x14ac:dyDescent="0.3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28"/>
      <c r="AX22" s="28"/>
      <c r="AY22" s="1"/>
      <c r="AZ22" s="1"/>
      <c r="BA22" s="1"/>
      <c r="BB22" s="1"/>
      <c r="BC22" s="1"/>
      <c r="BD22" s="1"/>
      <c r="BE22" s="28"/>
      <c r="BF22" s="28"/>
      <c r="BG22" s="28"/>
      <c r="BH22" s="28"/>
      <c r="BI22" s="28"/>
      <c r="BJ22" s="28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2"/>
    </row>
    <row r="23" spans="1:242" ht="4.95" customHeight="1" x14ac:dyDescent="0.3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28"/>
      <c r="AW23" s="28"/>
      <c r="AX23" s="28"/>
      <c r="AY23" s="28"/>
      <c r="AZ23" s="1"/>
      <c r="BA23" s="1"/>
      <c r="BB23" s="1"/>
      <c r="BC23" s="1"/>
      <c r="BD23" s="1"/>
      <c r="BE23" s="28"/>
      <c r="BF23" s="28"/>
      <c r="BG23" s="28"/>
      <c r="BH23" s="28"/>
      <c r="BI23" s="28"/>
      <c r="BJ23" s="28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2"/>
    </row>
    <row r="24" spans="1:242" ht="4.95" customHeight="1" x14ac:dyDescent="0.3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28"/>
      <c r="AW24" s="28"/>
      <c r="AX24" s="28"/>
      <c r="AY24" s="28"/>
      <c r="AZ24" s="1"/>
      <c r="BA24" s="1"/>
      <c r="BB24" s="1"/>
      <c r="BC24" s="1"/>
      <c r="BD24" s="1"/>
      <c r="BE24" s="1"/>
      <c r="BF24" s="28"/>
      <c r="BG24" s="28"/>
      <c r="BH24" s="28"/>
      <c r="BI24" s="28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2"/>
    </row>
    <row r="25" spans="1:242" ht="4.95" customHeight="1" x14ac:dyDescent="0.3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28"/>
      <c r="AV25" s="28"/>
      <c r="AW25" s="28"/>
      <c r="AX25" s="28"/>
      <c r="AY25" s="28"/>
      <c r="AZ25" s="28"/>
      <c r="BA25" s="1"/>
      <c r="BB25" s="1"/>
      <c r="BC25" s="1"/>
      <c r="BD25" s="1"/>
      <c r="BE25" s="1"/>
      <c r="BF25" s="28"/>
      <c r="BG25" s="28"/>
      <c r="BH25" s="28"/>
      <c r="BI25" s="28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2"/>
    </row>
    <row r="26" spans="1:242" ht="4.95" customHeight="1" x14ac:dyDescent="0.3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28"/>
      <c r="AV26" s="28"/>
      <c r="AW26" s="28"/>
      <c r="AX26" s="28"/>
      <c r="AY26" s="28"/>
      <c r="AZ26" s="28"/>
      <c r="BA26" s="1"/>
      <c r="BB26" s="1"/>
      <c r="BC26" s="1"/>
      <c r="BD26" s="1"/>
      <c r="BE26" s="1"/>
      <c r="BF26" s="1"/>
      <c r="BG26" s="28"/>
      <c r="BH26" s="28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2"/>
    </row>
    <row r="27" spans="1:242" ht="4.95" customHeight="1" x14ac:dyDescent="0.3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28"/>
      <c r="AV27" s="28"/>
      <c r="AW27" s="28"/>
      <c r="AX27" s="28"/>
      <c r="AY27" s="28"/>
      <c r="AZ27" s="28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2"/>
    </row>
    <row r="28" spans="1:242" ht="4.95" customHeight="1" x14ac:dyDescent="0.3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28"/>
      <c r="AU28" s="28"/>
      <c r="AV28" s="28"/>
      <c r="AW28" s="28"/>
      <c r="AX28" s="28"/>
      <c r="AY28" s="28"/>
      <c r="AZ28" s="28"/>
      <c r="BA28" s="28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2"/>
    </row>
    <row r="29" spans="1:242" ht="4.95" customHeight="1" x14ac:dyDescent="0.3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28"/>
      <c r="AU29" s="28"/>
      <c r="AV29" s="28"/>
      <c r="AW29" s="28"/>
      <c r="AX29" s="28"/>
      <c r="AY29" s="28"/>
      <c r="AZ29" s="28"/>
      <c r="BA29" s="28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2"/>
    </row>
    <row r="30" spans="1:242" ht="4.95" customHeight="1" x14ac:dyDescent="0.3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28"/>
      <c r="AU30" s="28"/>
      <c r="AV30" s="28"/>
      <c r="AW30" s="28"/>
      <c r="AX30" s="28"/>
      <c r="AY30" s="28"/>
      <c r="AZ30" s="28"/>
      <c r="BA30" s="28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2"/>
    </row>
    <row r="31" spans="1:242" ht="4.95" customHeight="1" x14ac:dyDescent="0.3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28"/>
      <c r="AU31" s="28"/>
      <c r="AV31" s="28"/>
      <c r="AW31" s="28"/>
      <c r="AX31" s="28"/>
      <c r="AY31" s="28"/>
      <c r="AZ31" s="28"/>
      <c r="BA31" s="28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2"/>
    </row>
    <row r="32" spans="1:242" ht="4.95" customHeight="1" x14ac:dyDescent="0.3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28"/>
      <c r="AU32" s="28"/>
      <c r="AV32" s="28"/>
      <c r="AW32" s="28"/>
      <c r="AX32" s="28"/>
      <c r="AY32" s="28"/>
      <c r="AZ32" s="28"/>
      <c r="BA32" s="28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2"/>
    </row>
    <row r="33" spans="1:242" ht="4.95" customHeight="1" x14ac:dyDescent="0.3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28"/>
      <c r="AU33" s="28"/>
      <c r="AV33" s="28"/>
      <c r="AW33" s="28"/>
      <c r="AX33" s="28"/>
      <c r="AY33" s="28"/>
      <c r="AZ33" s="28"/>
      <c r="BA33" s="28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2"/>
    </row>
    <row r="34" spans="1:242" ht="4.95" customHeight="1" x14ac:dyDescent="0.3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28"/>
      <c r="AU34" s="28"/>
      <c r="AV34" s="28"/>
      <c r="AW34" s="28"/>
      <c r="AX34" s="28"/>
      <c r="AY34" s="28"/>
      <c r="AZ34" s="28"/>
      <c r="BA34" s="28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2"/>
    </row>
    <row r="35" spans="1:242" ht="4.95" customHeight="1" x14ac:dyDescent="0.3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28"/>
      <c r="AU35" s="28"/>
      <c r="AV35" s="28"/>
      <c r="AW35" s="28"/>
      <c r="AX35" s="28"/>
      <c r="AY35" s="28"/>
      <c r="AZ35" s="28"/>
      <c r="BA35" s="28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2"/>
    </row>
    <row r="36" spans="1:242" ht="4.95" customHeight="1" x14ac:dyDescent="0.3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28"/>
      <c r="AV36" s="28"/>
      <c r="AW36" s="28"/>
      <c r="AX36" s="28"/>
      <c r="AY36" s="28"/>
      <c r="AZ36" s="28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2"/>
    </row>
    <row r="37" spans="1:242" ht="4.95" customHeight="1" x14ac:dyDescent="0.3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28"/>
      <c r="AV37" s="28"/>
      <c r="AW37" s="28"/>
      <c r="AX37" s="28"/>
      <c r="AY37" s="28"/>
      <c r="AZ37" s="28"/>
      <c r="BA37" s="1"/>
      <c r="BB37" s="1"/>
      <c r="BC37" s="1"/>
      <c r="BD37" s="1"/>
      <c r="BE37" s="1"/>
      <c r="BF37" s="1"/>
      <c r="BG37" s="28"/>
      <c r="BH37" s="28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2"/>
    </row>
    <row r="38" spans="1:242" ht="4.95" customHeight="1" x14ac:dyDescent="0.3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28"/>
      <c r="AV38" s="28"/>
      <c r="AW38" s="28"/>
      <c r="AX38" s="28"/>
      <c r="AY38" s="28"/>
      <c r="AZ38" s="28"/>
      <c r="BA38" s="1"/>
      <c r="BB38" s="1"/>
      <c r="BC38" s="1"/>
      <c r="BD38" s="1"/>
      <c r="BE38" s="1"/>
      <c r="BF38" s="28"/>
      <c r="BG38" s="28"/>
      <c r="BH38" s="28"/>
      <c r="BI38" s="28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2"/>
    </row>
    <row r="39" spans="1:242" ht="4.95" customHeight="1" x14ac:dyDescent="0.3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28"/>
      <c r="AW39" s="28"/>
      <c r="AX39" s="28"/>
      <c r="AY39" s="28"/>
      <c r="AZ39" s="1"/>
      <c r="BA39" s="1"/>
      <c r="BB39" s="1"/>
      <c r="BC39" s="1"/>
      <c r="BD39" s="1"/>
      <c r="BE39" s="1"/>
      <c r="BF39" s="28"/>
      <c r="BG39" s="28"/>
      <c r="BH39" s="28"/>
      <c r="BI39" s="28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2"/>
    </row>
    <row r="40" spans="1:242" ht="4.95" customHeight="1" x14ac:dyDescent="0.3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28"/>
      <c r="AW40" s="28"/>
      <c r="AX40" s="28"/>
      <c r="AY40" s="28"/>
      <c r="AZ40" s="1"/>
      <c r="BA40" s="1"/>
      <c r="BB40" s="1"/>
      <c r="BC40" s="1"/>
      <c r="BD40" s="1"/>
      <c r="BE40" s="28"/>
      <c r="BF40" s="28"/>
      <c r="BG40" s="28"/>
      <c r="BH40" s="28"/>
      <c r="BI40" s="28"/>
      <c r="BJ40" s="28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2"/>
    </row>
    <row r="41" spans="1:242" ht="4.95" customHeight="1" x14ac:dyDescent="0.3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28"/>
      <c r="AX41" s="28"/>
      <c r="AY41" s="1"/>
      <c r="AZ41" s="1"/>
      <c r="BA41" s="1"/>
      <c r="BB41" s="1"/>
      <c r="BC41" s="1"/>
      <c r="BD41" s="1"/>
      <c r="BE41" s="28"/>
      <c r="BF41" s="28"/>
      <c r="BG41" s="28"/>
      <c r="BH41" s="28"/>
      <c r="BI41" s="28"/>
      <c r="BJ41" s="28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2"/>
    </row>
    <row r="42" spans="1:242" ht="4.95" customHeight="1" x14ac:dyDescent="0.3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28"/>
      <c r="BF42" s="28"/>
      <c r="BG42" s="28"/>
      <c r="BH42" s="28"/>
      <c r="BI42" s="28"/>
      <c r="BJ42" s="28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2"/>
    </row>
    <row r="43" spans="1:242" ht="4.95" customHeight="1" x14ac:dyDescent="0.3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28"/>
      <c r="BE43" s="28"/>
      <c r="BF43" s="28"/>
      <c r="BG43" s="28"/>
      <c r="BH43" s="28"/>
      <c r="BI43" s="28"/>
      <c r="BJ43" s="28"/>
      <c r="BK43" s="28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2"/>
    </row>
    <row r="44" spans="1:242" ht="4.95" customHeight="1" x14ac:dyDescent="0.3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28"/>
      <c r="BE44" s="28"/>
      <c r="BF44" s="28"/>
      <c r="BG44" s="28"/>
      <c r="BH44" s="28"/>
      <c r="BI44" s="28"/>
      <c r="BJ44" s="28"/>
      <c r="BK44" s="28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2"/>
    </row>
    <row r="45" spans="1:242" ht="4.95" customHeight="1" x14ac:dyDescent="0.3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28"/>
      <c r="BE45" s="28"/>
      <c r="BF45" s="28"/>
      <c r="BG45" s="28"/>
      <c r="BH45" s="28"/>
      <c r="BI45" s="28"/>
      <c r="BJ45" s="28"/>
      <c r="BK45" s="28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2"/>
    </row>
    <row r="46" spans="1:242" ht="4.95" customHeight="1" x14ac:dyDescent="0.3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28"/>
      <c r="BE46" s="28"/>
      <c r="BF46" s="28"/>
      <c r="BG46" s="28"/>
      <c r="BH46" s="28"/>
      <c r="BI46" s="28"/>
      <c r="BJ46" s="28"/>
      <c r="BK46" s="28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2"/>
    </row>
    <row r="47" spans="1:242" ht="4.95" customHeight="1" x14ac:dyDescent="0.3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28"/>
      <c r="BE47" s="28"/>
      <c r="BF47" s="28"/>
      <c r="BG47" s="28"/>
      <c r="BH47" s="28"/>
      <c r="BI47" s="28"/>
      <c r="BJ47" s="28"/>
      <c r="BK47" s="28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2"/>
    </row>
    <row r="48" spans="1:242" ht="4.95" customHeight="1" x14ac:dyDescent="0.3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28"/>
      <c r="BE48" s="28"/>
      <c r="BF48" s="28"/>
      <c r="BG48" s="28"/>
      <c r="BH48" s="28"/>
      <c r="BI48" s="28"/>
      <c r="BJ48" s="28"/>
      <c r="BK48" s="28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2"/>
    </row>
    <row r="49" spans="1:242" ht="4.95" customHeight="1" x14ac:dyDescent="0.3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28"/>
      <c r="BE49" s="28"/>
      <c r="BF49" s="28"/>
      <c r="BG49" s="28"/>
      <c r="BH49" s="28"/>
      <c r="BI49" s="28"/>
      <c r="BJ49" s="28"/>
      <c r="BK49" s="28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2"/>
    </row>
    <row r="50" spans="1:242" ht="4.95" customHeight="1" x14ac:dyDescent="0.3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28"/>
      <c r="BE50" s="28"/>
      <c r="BF50" s="28"/>
      <c r="BG50" s="28"/>
      <c r="BH50" s="28"/>
      <c r="BI50" s="28"/>
      <c r="BJ50" s="28"/>
      <c r="BK50" s="28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2"/>
    </row>
    <row r="51" spans="1:242" ht="4.95" customHeight="1" x14ac:dyDescent="0.3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28"/>
      <c r="BF51" s="28"/>
      <c r="BG51" s="28"/>
      <c r="BH51" s="28"/>
      <c r="BI51" s="28"/>
      <c r="BJ51" s="28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2"/>
    </row>
    <row r="52" spans="1:242" ht="4.95" customHeight="1" x14ac:dyDescent="0.3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28"/>
      <c r="AX52" s="28"/>
      <c r="AY52" s="1"/>
      <c r="AZ52" s="1"/>
      <c r="BA52" s="1"/>
      <c r="BB52" s="1"/>
      <c r="BC52" s="1"/>
      <c r="BD52" s="1"/>
      <c r="BE52" s="28"/>
      <c r="BF52" s="28"/>
      <c r="BG52" s="28"/>
      <c r="BH52" s="28"/>
      <c r="BI52" s="28"/>
      <c r="BJ52" s="28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2"/>
    </row>
    <row r="53" spans="1:242" ht="4.95" customHeight="1" x14ac:dyDescent="0.3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28"/>
      <c r="AW53" s="28"/>
      <c r="AX53" s="28"/>
      <c r="AY53" s="28"/>
      <c r="AZ53" s="1"/>
      <c r="BA53" s="1"/>
      <c r="BB53" s="1"/>
      <c r="BC53" s="1"/>
      <c r="BD53" s="1"/>
      <c r="BE53" s="28"/>
      <c r="BF53" s="28"/>
      <c r="BG53" s="28"/>
      <c r="BH53" s="28"/>
      <c r="BI53" s="28"/>
      <c r="BJ53" s="28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2"/>
    </row>
    <row r="54" spans="1:242" ht="4.95" customHeight="1" x14ac:dyDescent="0.3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28"/>
      <c r="AW54" s="28"/>
      <c r="AX54" s="28"/>
      <c r="AY54" s="28"/>
      <c r="AZ54" s="1"/>
      <c r="BA54" s="1"/>
      <c r="BB54" s="1"/>
      <c r="BC54" s="1"/>
      <c r="BD54" s="1"/>
      <c r="BE54" s="1"/>
      <c r="BF54" s="28"/>
      <c r="BG54" s="28"/>
      <c r="BH54" s="28"/>
      <c r="BI54" s="28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2"/>
    </row>
    <row r="55" spans="1:242" ht="4.95" customHeight="1" x14ac:dyDescent="0.3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28"/>
      <c r="AV55" s="28"/>
      <c r="AW55" s="28"/>
      <c r="AX55" s="28"/>
      <c r="AY55" s="28"/>
      <c r="AZ55" s="28"/>
      <c r="BA55" s="1"/>
      <c r="BB55" s="1"/>
      <c r="BC55" s="1"/>
      <c r="BD55" s="1"/>
      <c r="BE55" s="1"/>
      <c r="BF55" s="28"/>
      <c r="BG55" s="28"/>
      <c r="BH55" s="28"/>
      <c r="BI55" s="28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2"/>
    </row>
    <row r="56" spans="1:242" ht="4.95" customHeight="1" x14ac:dyDescent="0.3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28"/>
      <c r="AV56" s="28"/>
      <c r="AW56" s="28"/>
      <c r="AX56" s="28"/>
      <c r="AY56" s="28"/>
      <c r="AZ56" s="28"/>
      <c r="BA56" s="1"/>
      <c r="BB56" s="1"/>
      <c r="BC56" s="1"/>
      <c r="BD56" s="1"/>
      <c r="BE56" s="1"/>
      <c r="BF56" s="1"/>
      <c r="BG56" s="28"/>
      <c r="BH56" s="28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2"/>
    </row>
    <row r="57" spans="1:242" ht="4.95" customHeight="1" x14ac:dyDescent="0.3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28"/>
      <c r="AV57" s="28"/>
      <c r="AW57" s="28"/>
      <c r="AX57" s="28"/>
      <c r="AY57" s="28"/>
      <c r="AZ57" s="28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2"/>
    </row>
    <row r="58" spans="1:242" ht="4.95" customHeight="1" x14ac:dyDescent="0.3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28"/>
      <c r="AU58" s="28"/>
      <c r="AV58" s="28"/>
      <c r="AW58" s="28"/>
      <c r="AX58" s="28"/>
      <c r="AY58" s="28"/>
      <c r="AZ58" s="28"/>
      <c r="BA58" s="28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2"/>
    </row>
    <row r="59" spans="1:242" ht="4.95" customHeight="1" x14ac:dyDescent="0.3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28"/>
      <c r="AU59" s="28"/>
      <c r="AV59" s="28"/>
      <c r="AW59" s="28"/>
      <c r="AX59" s="28"/>
      <c r="AY59" s="28"/>
      <c r="AZ59" s="28"/>
      <c r="BA59" s="28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2"/>
    </row>
    <row r="60" spans="1:242" ht="4.95" customHeight="1" x14ac:dyDescent="0.3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28"/>
      <c r="AU60" s="28"/>
      <c r="AV60" s="28"/>
      <c r="AW60" s="28"/>
      <c r="AX60" s="28"/>
      <c r="AY60" s="28"/>
      <c r="AZ60" s="28"/>
      <c r="BA60" s="28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2"/>
    </row>
    <row r="61" spans="1:242" ht="4.95" customHeight="1" x14ac:dyDescent="0.3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28"/>
      <c r="AU61" s="28"/>
      <c r="AV61" s="28"/>
      <c r="AW61" s="28"/>
      <c r="AX61" s="28"/>
      <c r="AY61" s="28"/>
      <c r="AZ61" s="28"/>
      <c r="BA61" s="28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2"/>
    </row>
    <row r="62" spans="1:242" ht="4.95" customHeight="1" x14ac:dyDescent="0.3">
      <c r="A62" s="2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34"/>
  <sheetViews>
    <sheetView tabSelected="1" workbookViewId="0">
      <selection activeCell="F24" sqref="F24"/>
    </sheetView>
  </sheetViews>
  <sheetFormatPr defaultRowHeight="14.4" x14ac:dyDescent="0.3"/>
  <cols>
    <col min="1" max="1" width="8.88671875" customWidth="1"/>
    <col min="2" max="2" width="12.109375" customWidth="1"/>
    <col min="4" max="4" width="10.88671875" customWidth="1"/>
    <col min="10" max="10" width="18" customWidth="1"/>
    <col min="11" max="11" width="9.5546875" bestFit="1" customWidth="1"/>
    <col min="12" max="12" width="12.33203125" customWidth="1"/>
  </cols>
  <sheetData>
    <row r="1" spans="2:13" ht="18.600000000000001" thickBot="1" x14ac:dyDescent="0.4">
      <c r="B1" s="4" t="s">
        <v>4</v>
      </c>
      <c r="C1" s="19"/>
      <c r="D1" s="20"/>
      <c r="E1" s="21"/>
      <c r="F1" s="22" t="s">
        <v>10</v>
      </c>
      <c r="G1" s="20"/>
      <c r="H1" s="20"/>
      <c r="J1" s="12" t="s">
        <v>21</v>
      </c>
      <c r="K1" s="5"/>
      <c r="L1" s="5"/>
    </row>
    <row r="2" spans="2:13" ht="14.4" customHeight="1" x14ac:dyDescent="0.3">
      <c r="C2" s="21"/>
      <c r="D2" s="21"/>
      <c r="E2" s="21"/>
      <c r="F2" s="21"/>
      <c r="G2" s="21"/>
      <c r="H2" s="21"/>
      <c r="J2" s="6"/>
      <c r="K2" t="s">
        <v>42</v>
      </c>
      <c r="M2">
        <v>0</v>
      </c>
    </row>
    <row r="3" spans="2:13" x14ac:dyDescent="0.3">
      <c r="B3" t="s">
        <v>0</v>
      </c>
      <c r="C3" s="10">
        <v>0.45</v>
      </c>
      <c r="D3" s="21" t="s">
        <v>11</v>
      </c>
      <c r="E3" s="21"/>
      <c r="F3" s="21" t="s">
        <v>44</v>
      </c>
      <c r="G3" s="8">
        <v>293</v>
      </c>
      <c r="H3" s="21" t="s">
        <v>12</v>
      </c>
      <c r="J3" s="18"/>
      <c r="K3" t="s">
        <v>43</v>
      </c>
      <c r="M3">
        <v>3</v>
      </c>
    </row>
    <row r="4" spans="2:13" x14ac:dyDescent="0.3">
      <c r="B4" t="s">
        <v>1</v>
      </c>
      <c r="C4" s="30">
        <v>4.4999999999999998E-2</v>
      </c>
      <c r="D4" s="21" t="s">
        <v>11</v>
      </c>
      <c r="E4" s="21"/>
      <c r="F4" s="21" t="s">
        <v>45</v>
      </c>
      <c r="G4" s="8">
        <v>333</v>
      </c>
      <c r="H4" s="21" t="s">
        <v>12</v>
      </c>
      <c r="J4" s="13"/>
      <c r="K4" t="s">
        <v>46</v>
      </c>
      <c r="M4">
        <v>10</v>
      </c>
    </row>
    <row r="5" spans="2:13" x14ac:dyDescent="0.3">
      <c r="B5" s="14" t="s">
        <v>41</v>
      </c>
      <c r="C5" s="9">
        <f>C7/C6</f>
        <v>0.25</v>
      </c>
      <c r="D5" s="23"/>
      <c r="E5" s="21"/>
      <c r="F5" s="21" t="s">
        <v>29</v>
      </c>
      <c r="G5" s="8">
        <v>2</v>
      </c>
      <c r="H5" s="21" t="s">
        <v>13</v>
      </c>
      <c r="J5" s="3"/>
      <c r="K5" t="s">
        <v>22</v>
      </c>
      <c r="M5">
        <v>44</v>
      </c>
    </row>
    <row r="6" spans="2:13" x14ac:dyDescent="0.3">
      <c r="B6" t="s">
        <v>2</v>
      </c>
      <c r="C6" s="8">
        <v>240</v>
      </c>
      <c r="D6" s="21"/>
      <c r="E6" s="21"/>
      <c r="F6" s="21"/>
      <c r="G6" s="21"/>
      <c r="H6" s="21"/>
      <c r="J6" s="7"/>
      <c r="K6" t="s">
        <v>23</v>
      </c>
      <c r="M6">
        <v>42</v>
      </c>
    </row>
    <row r="7" spans="2:13" x14ac:dyDescent="0.3">
      <c r="B7" t="s">
        <v>3</v>
      </c>
      <c r="C7" s="8">
        <v>60</v>
      </c>
      <c r="D7" s="21"/>
      <c r="E7" s="21"/>
      <c r="F7" s="21"/>
      <c r="G7" s="21"/>
      <c r="H7" s="21"/>
      <c r="J7" s="11"/>
      <c r="K7" t="s">
        <v>24</v>
      </c>
      <c r="M7">
        <v>41</v>
      </c>
    </row>
    <row r="8" spans="2:13" x14ac:dyDescent="0.3">
      <c r="C8" s="24" t="b">
        <v>0</v>
      </c>
      <c r="D8" s="21"/>
      <c r="E8" s="21"/>
      <c r="F8" s="21"/>
      <c r="G8" s="21"/>
      <c r="H8" s="21"/>
    </row>
    <row r="9" spans="2:13" x14ac:dyDescent="0.3">
      <c r="C9" s="21"/>
      <c r="D9" s="21"/>
      <c r="E9" s="21"/>
      <c r="F9" s="21"/>
      <c r="G9" s="21"/>
      <c r="H9" s="21"/>
    </row>
    <row r="10" spans="2:13" x14ac:dyDescent="0.3">
      <c r="C10" s="21"/>
      <c r="D10" s="21"/>
      <c r="E10" s="21"/>
      <c r="F10" s="21"/>
      <c r="G10" s="21"/>
      <c r="H10" s="21"/>
    </row>
    <row r="11" spans="2:13" ht="18.600000000000001" thickBot="1" x14ac:dyDescent="0.4">
      <c r="B11" s="4" t="s">
        <v>19</v>
      </c>
      <c r="C11" s="20"/>
      <c r="D11" s="20"/>
      <c r="E11" s="21"/>
      <c r="F11" s="22" t="s">
        <v>28</v>
      </c>
      <c r="G11" s="20"/>
      <c r="H11" s="20"/>
      <c r="J11" s="4" t="s">
        <v>27</v>
      </c>
      <c r="K11" s="5"/>
      <c r="L11" s="5"/>
    </row>
    <row r="12" spans="2:13" x14ac:dyDescent="0.3">
      <c r="C12" s="21"/>
      <c r="D12" s="21"/>
      <c r="E12" s="21"/>
      <c r="F12" s="21"/>
      <c r="G12" s="21"/>
      <c r="H12" s="21"/>
    </row>
    <row r="13" spans="2:13" x14ac:dyDescent="0.3">
      <c r="B13" t="s">
        <v>9</v>
      </c>
      <c r="C13" s="8">
        <v>100</v>
      </c>
      <c r="D13" s="21"/>
      <c r="E13" s="21"/>
      <c r="F13" s="25" t="s">
        <v>7</v>
      </c>
      <c r="G13" s="33" t="s">
        <v>8</v>
      </c>
      <c r="H13" s="33"/>
      <c r="J13" t="s">
        <v>30</v>
      </c>
      <c r="K13" s="17" t="s">
        <v>31</v>
      </c>
      <c r="L13" s="16"/>
    </row>
    <row r="14" spans="2:13" x14ac:dyDescent="0.3">
      <c r="B14" t="s">
        <v>14</v>
      </c>
      <c r="C14" s="8">
        <v>1</v>
      </c>
      <c r="D14" s="21"/>
      <c r="E14" s="21"/>
      <c r="F14" s="25" t="s">
        <v>25</v>
      </c>
      <c r="G14" s="8">
        <v>0.1</v>
      </c>
      <c r="H14" s="25"/>
      <c r="J14" t="s">
        <v>33</v>
      </c>
      <c r="K14" s="15">
        <f>INDEX('Fluid properties'!$A$4:$R$15,1,MATCH($K$13,'Fluid properties'!$3:$3))</f>
        <v>1</v>
      </c>
      <c r="L14" t="s">
        <v>38</v>
      </c>
    </row>
    <row r="15" spans="2:13" x14ac:dyDescent="0.3">
      <c r="B15" t="s">
        <v>15</v>
      </c>
      <c r="C15" s="8">
        <v>1</v>
      </c>
      <c r="D15" s="21"/>
      <c r="E15" s="21"/>
      <c r="F15" s="21"/>
      <c r="G15" s="21"/>
      <c r="H15" s="21"/>
      <c r="J15" t="s">
        <v>34</v>
      </c>
      <c r="K15" s="15">
        <f>INDEX('Fluid properties'!$A$4:$R$15,2,MATCH($K$13,'Fluid properties'!$3:$3))</f>
        <v>2.0000000000000002E-5</v>
      </c>
      <c r="L15" t="s">
        <v>39</v>
      </c>
    </row>
    <row r="16" spans="2:13" x14ac:dyDescent="0.3">
      <c r="B16" t="s">
        <v>16</v>
      </c>
      <c r="C16" s="8">
        <v>30</v>
      </c>
      <c r="D16" s="21"/>
      <c r="E16" s="21"/>
      <c r="F16" s="21" t="s">
        <v>5</v>
      </c>
      <c r="G16" s="8">
        <v>0.3</v>
      </c>
      <c r="H16" s="21"/>
      <c r="J16" t="s">
        <v>37</v>
      </c>
      <c r="K16">
        <f>INDEX('Fluid properties'!$A$4:$R$15,3,MATCH($K$13,'Fluid properties'!$3:$3))</f>
        <v>1013</v>
      </c>
      <c r="L16" t="s">
        <v>36</v>
      </c>
    </row>
    <row r="17" spans="2:12" x14ac:dyDescent="0.3">
      <c r="B17" t="s">
        <v>20</v>
      </c>
      <c r="C17" s="8">
        <v>1</v>
      </c>
      <c r="D17" s="21"/>
      <c r="E17" s="21"/>
      <c r="F17" s="21" t="s">
        <v>6</v>
      </c>
      <c r="G17" s="8">
        <v>1</v>
      </c>
      <c r="H17" s="21"/>
      <c r="J17" t="s">
        <v>35</v>
      </c>
      <c r="K17">
        <f>INDEX('Fluid properties'!$A$4:$R$15,4,MATCH($K$13,'Fluid properties'!$3:$3))</f>
        <v>2.5000000000000001E-2</v>
      </c>
      <c r="L17" t="s">
        <v>40</v>
      </c>
    </row>
    <row r="18" spans="2:12" x14ac:dyDescent="0.3">
      <c r="B18" t="s">
        <v>17</v>
      </c>
      <c r="C18" s="8">
        <v>1</v>
      </c>
      <c r="D18" s="21"/>
      <c r="E18" s="21"/>
      <c r="F18" s="21"/>
      <c r="G18" s="21"/>
      <c r="H18" s="21"/>
    </row>
    <row r="19" spans="2:12" x14ac:dyDescent="0.3">
      <c r="B19" t="s">
        <v>18</v>
      </c>
      <c r="C19" s="8">
        <v>1</v>
      </c>
      <c r="D19" s="21"/>
      <c r="E19" s="21"/>
      <c r="F19" s="23" t="s">
        <v>26</v>
      </c>
      <c r="G19" s="8">
        <v>5.0000000000000001E-4</v>
      </c>
      <c r="H19" s="23"/>
    </row>
    <row r="20" spans="2:12" x14ac:dyDescent="0.3">
      <c r="C20" s="21"/>
      <c r="D20" s="21"/>
      <c r="E20" s="21"/>
      <c r="F20" s="23" t="s">
        <v>60</v>
      </c>
      <c r="G20" s="8">
        <v>0.1</v>
      </c>
      <c r="H20" s="21"/>
    </row>
    <row r="21" spans="2:12" x14ac:dyDescent="0.3">
      <c r="C21" s="21"/>
      <c r="D21" s="21"/>
      <c r="E21" s="21"/>
      <c r="F21" s="21"/>
      <c r="G21" s="21"/>
      <c r="H21" s="21"/>
    </row>
    <row r="22" spans="2:12" ht="18.600000000000001" thickBot="1" x14ac:dyDescent="0.4">
      <c r="B22" s="4" t="s">
        <v>48</v>
      </c>
      <c r="C22" s="19"/>
      <c r="D22" s="20"/>
      <c r="E22" s="20"/>
      <c r="F22" s="20"/>
      <c r="G22" s="20"/>
      <c r="H22" s="20"/>
      <c r="J22" s="4" t="s">
        <v>61</v>
      </c>
      <c r="K22" s="5"/>
      <c r="L22" s="5"/>
    </row>
    <row r="23" spans="2:12" x14ac:dyDescent="0.3">
      <c r="C23" s="21"/>
      <c r="D23" s="21"/>
      <c r="E23" s="21"/>
      <c r="F23" s="21" t="s">
        <v>49</v>
      </c>
      <c r="G23" s="21"/>
      <c r="H23" s="21" t="s">
        <v>51</v>
      </c>
      <c r="K23" s="31" t="b">
        <v>0</v>
      </c>
    </row>
    <row r="24" spans="2:12" x14ac:dyDescent="0.3">
      <c r="B24" t="s">
        <v>50</v>
      </c>
      <c r="C24" s="8" t="s">
        <v>63</v>
      </c>
      <c r="E24" t="s">
        <v>54</v>
      </c>
      <c r="F24" s="9">
        <f>0.2*C$27</f>
        <v>9.0000000000000011E-2</v>
      </c>
      <c r="H24" s="9">
        <f>F24+IF(C24="Square",C31,SQRT(C31^2 - (C31/2)^2))</f>
        <v>0.10948557158514988</v>
      </c>
      <c r="J24" t="s">
        <v>64</v>
      </c>
      <c r="K24" s="32">
        <f>K14*G5*C4/K15</f>
        <v>4499.9999999999991</v>
      </c>
      <c r="L24" s="16"/>
    </row>
    <row r="25" spans="2:12" x14ac:dyDescent="0.3">
      <c r="B25" t="s">
        <v>52</v>
      </c>
      <c r="C25" s="8">
        <v>1.5</v>
      </c>
      <c r="D25" t="s">
        <v>56</v>
      </c>
      <c r="E25" t="s">
        <v>55</v>
      </c>
      <c r="F25" s="9">
        <v>0</v>
      </c>
      <c r="G25" s="23"/>
      <c r="H25" s="9">
        <f>IF(C24="Square",F25,C31/2)</f>
        <v>1.125E-2</v>
      </c>
      <c r="J25" t="s">
        <v>62</v>
      </c>
      <c r="K25" s="32">
        <f>G19*G5/(C3/C6)</f>
        <v>0.53333333333333333</v>
      </c>
    </row>
    <row r="26" spans="2:12" x14ac:dyDescent="0.3">
      <c r="F26" s="26"/>
      <c r="G26" s="26"/>
      <c r="H26" s="26"/>
    </row>
    <row r="27" spans="2:12" ht="14.4" customHeight="1" x14ac:dyDescent="0.3">
      <c r="B27" t="s">
        <v>0</v>
      </c>
      <c r="C27" s="27">
        <f>C3</f>
        <v>0.45</v>
      </c>
      <c r="D27" t="s">
        <v>11</v>
      </c>
      <c r="E27" t="s">
        <v>54</v>
      </c>
      <c r="F27" s="9">
        <f>0.2*C$27</f>
        <v>9.0000000000000011E-2</v>
      </c>
      <c r="H27" s="9">
        <f>H24</f>
        <v>0.10948557158514988</v>
      </c>
      <c r="K27" s="29"/>
    </row>
    <row r="28" spans="2:12" x14ac:dyDescent="0.3">
      <c r="B28" t="s">
        <v>1</v>
      </c>
      <c r="C28" s="27">
        <f>C4</f>
        <v>4.4999999999999998E-2</v>
      </c>
      <c r="D28" t="s">
        <v>11</v>
      </c>
      <c r="E28" t="s">
        <v>55</v>
      </c>
      <c r="F28" s="9">
        <f>C31</f>
        <v>2.2499999999999999E-2</v>
      </c>
      <c r="H28" s="9">
        <f>H25+C31</f>
        <v>3.3750000000000002E-2</v>
      </c>
    </row>
    <row r="30" spans="2:12" x14ac:dyDescent="0.3">
      <c r="B30" t="s">
        <v>53</v>
      </c>
      <c r="C30" s="9">
        <f>C31/C25</f>
        <v>1.4999999999999999E-2</v>
      </c>
      <c r="D30" t="s">
        <v>11</v>
      </c>
      <c r="E30" t="s">
        <v>54</v>
      </c>
      <c r="F30" s="9">
        <f>0.2*C$27</f>
        <v>9.0000000000000011E-2</v>
      </c>
      <c r="H30" s="9" t="str">
        <f>IF(C24="Square",F30+C$31,"None")</f>
        <v>None</v>
      </c>
    </row>
    <row r="31" spans="2:12" x14ac:dyDescent="0.3">
      <c r="B31" t="s">
        <v>52</v>
      </c>
      <c r="C31" s="9">
        <f>C28/2</f>
        <v>2.2499999999999999E-2</v>
      </c>
      <c r="D31" t="s">
        <v>11</v>
      </c>
      <c r="E31" t="s">
        <v>55</v>
      </c>
      <c r="F31" s="9">
        <f>C28</f>
        <v>4.4999999999999998E-2</v>
      </c>
      <c r="H31" s="9" t="str">
        <f>IF(C24="Square",F31,"None")</f>
        <v>None</v>
      </c>
    </row>
    <row r="33" spans="2:4" x14ac:dyDescent="0.3">
      <c r="B33" t="s">
        <v>57</v>
      </c>
      <c r="C33" s="8">
        <f>C3/C6</f>
        <v>1.8750000000000001E-3</v>
      </c>
      <c r="D33" t="s">
        <v>59</v>
      </c>
    </row>
    <row r="34" spans="2:4" x14ac:dyDescent="0.3">
      <c r="B34" t="s">
        <v>58</v>
      </c>
      <c r="C34" s="8">
        <f>C4/C7</f>
        <v>7.5000000000000002E-4</v>
      </c>
      <c r="D34" t="s">
        <v>59</v>
      </c>
    </row>
  </sheetData>
  <mergeCells count="1">
    <mergeCell ref="G13:H13"/>
  </mergeCells>
  <conditionalFormatting sqref="K23">
    <cfRule type="cellIs" dxfId="2" priority="3" operator="equal">
      <formula>TRUE</formula>
    </cfRule>
  </conditionalFormatting>
  <conditionalFormatting sqref="K24">
    <cfRule type="cellIs" dxfId="1" priority="2" operator="lessThan">
      <formula>2300</formula>
    </cfRule>
  </conditionalFormatting>
  <conditionalFormatting sqref="K25">
    <cfRule type="cellIs" dxfId="0" priority="1" operator="greaterThan">
      <formula>1</formula>
    </cfRule>
  </conditionalFormatting>
  <dataValidations count="3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  <dataValidation type="list" allowBlank="1" showInputMessage="1" showErrorMessage="1" sqref="C24">
      <formula1>"Square,Triangular"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7620</xdr:rowOff>
                  </from>
                  <to>
                    <xdr:col>4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426720</xdr:colOff>
                    <xdr:row>7</xdr:row>
                    <xdr:rowOff>0</xdr:rowOff>
                  </from>
                  <to>
                    <xdr:col>8</xdr:col>
                    <xdr:colOff>7620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22860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Knop 9">
              <controlPr defaultSize="0" print="0" autoFill="0" autoPict="0" macro="[0]!apply_pattern">
                <anchor moveWithCells="1">
                  <from>
                    <xdr:col>5</xdr:col>
                    <xdr:colOff>175260</xdr:colOff>
                    <xdr:row>21</xdr:row>
                    <xdr:rowOff>0</xdr:rowOff>
                  </from>
                  <to>
                    <xdr:col>7</xdr:col>
                    <xdr:colOff>137160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Selectievakje 12">
              <controlPr defaultSize="0" autoFill="0" autoLine="0" autoPict="0">
                <anchor moveWithCells="1">
                  <from>
                    <xdr:col>9</xdr:col>
                    <xdr:colOff>99060</xdr:colOff>
                    <xdr:row>22</xdr:row>
                    <xdr:rowOff>0</xdr:rowOff>
                  </from>
                  <to>
                    <xdr:col>9</xdr:col>
                    <xdr:colOff>960120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E26" sqref="E26"/>
    </sheetView>
  </sheetViews>
  <sheetFormatPr defaultRowHeight="14.4" x14ac:dyDescent="0.3"/>
  <cols>
    <col min="1" max="1" width="17.6640625" customWidth="1"/>
  </cols>
  <sheetData>
    <row r="1" spans="1:3" ht="18.600000000000001" thickBot="1" x14ac:dyDescent="0.4">
      <c r="A1" s="4" t="s">
        <v>27</v>
      </c>
      <c r="B1" s="5"/>
      <c r="C1" s="5"/>
    </row>
    <row r="3" spans="1:3" x14ac:dyDescent="0.3">
      <c r="A3" t="s">
        <v>30</v>
      </c>
      <c r="B3" t="s">
        <v>31</v>
      </c>
      <c r="C3" t="s">
        <v>32</v>
      </c>
    </row>
    <row r="4" spans="1:3" x14ac:dyDescent="0.3">
      <c r="A4" t="s">
        <v>33</v>
      </c>
      <c r="B4">
        <v>1</v>
      </c>
      <c r="C4">
        <v>1000</v>
      </c>
    </row>
    <row r="5" spans="1:3" x14ac:dyDescent="0.3">
      <c r="A5" t="s">
        <v>34</v>
      </c>
      <c r="B5" s="15">
        <v>2.0000000000000002E-5</v>
      </c>
      <c r="C5" s="15">
        <v>1E-3</v>
      </c>
    </row>
    <row r="6" spans="1:3" x14ac:dyDescent="0.3">
      <c r="A6" t="s">
        <v>37</v>
      </c>
      <c r="B6">
        <v>1013</v>
      </c>
      <c r="C6">
        <v>4200</v>
      </c>
    </row>
    <row r="7" spans="1:3" x14ac:dyDescent="0.3">
      <c r="A7" t="s">
        <v>35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Constraints</vt:lpstr>
      <vt:lpstr>Grid settings</vt:lpstr>
      <vt:lpstr>Fluid properties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2018-03-27T12:06:22Z</dcterms:created>
  <dcterms:modified xsi:type="dcterms:W3CDTF">2018-04-17T07:19:41Z</dcterms:modified>
</cp:coreProperties>
</file>